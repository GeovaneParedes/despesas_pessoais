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geg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<sst xmlns="http://schemas.openxmlformats.org/spreadsheetml/2006/main" count="465" uniqueCount="138">
  <si>
    <t xml:space="preserve">Contas a Pagar</t>
  </si>
  <si>
    <t xml:space="preserve">Valor</t>
  </si>
  <si>
    <t xml:space="preserve">Vencimento</t>
  </si>
  <si>
    <t xml:space="preserve">Pagamento</t>
  </si>
  <si>
    <t xml:space="preserve">Status</t>
  </si>
  <si>
    <t xml:space="preserve">Nuparedes </t>
  </si>
  <si>
    <t xml:space="preserve">NuComum </t>
  </si>
  <si>
    <t xml:space="preserve">Água Itaporã</t>
  </si>
  <si>
    <t xml:space="preserve">Luz Itaporã</t>
  </si>
  <si>
    <t xml:space="preserve">Aluguel</t>
  </si>
  <si>
    <t xml:space="preserve">NuDell</t>
  </si>
  <si>
    <t xml:space="preserve">WillGeo</t>
  </si>
  <si>
    <t xml:space="preserve">IPTU 3°</t>
  </si>
  <si>
    <t xml:space="preserve">Mei mensal </t>
  </si>
  <si>
    <t xml:space="preserve">Mei Parc 27</t>
  </si>
  <si>
    <t xml:space="preserve">IPVA 3°</t>
  </si>
  <si>
    <t xml:space="preserve">Inter Dell </t>
  </si>
  <si>
    <t xml:space="preserve">Luz da Barbearia </t>
  </si>
  <si>
    <t xml:space="preserve">Água da Casinha</t>
  </si>
  <si>
    <t xml:space="preserve">Total </t>
  </si>
  <si>
    <t xml:space="preserve">Luz da Casinha </t>
  </si>
  <si>
    <t xml:space="preserve">Aluguel Casinha</t>
  </si>
  <si>
    <t xml:space="preserve">Aluguel Barbearia</t>
  </si>
  <si>
    <t xml:space="preserve">Inter Geo</t>
  </si>
  <si>
    <t xml:space="preserve">Mei Parc 28</t>
  </si>
  <si>
    <t xml:space="preserve">IPVA 4°</t>
  </si>
  <si>
    <t xml:space="preserve">IPTU 4°</t>
  </si>
  <si>
    <t xml:space="preserve">______________________________________ Mês de Maio/23 ________________________</t>
  </si>
  <si>
    <t xml:space="preserve">Mei Parc 29°</t>
  </si>
  <si>
    <t xml:space="preserve">IPVA 5°</t>
  </si>
  <si>
    <t xml:space="preserve">IPTU 5°</t>
  </si>
  <si>
    <t xml:space="preserve">Fatura Picpay </t>
  </si>
  <si>
    <t xml:space="preserve">Fatura C6bank</t>
  </si>
  <si>
    <t xml:space="preserve">Contas de Junho 23</t>
  </si>
  <si>
    <t xml:space="preserve">IPTU 6°</t>
  </si>
  <si>
    <t xml:space="preserve">Nuempresarial</t>
  </si>
  <si>
    <t xml:space="preserve">Mei Parc 30°</t>
  </si>
  <si>
    <t xml:space="preserve">Contas de Julho 23</t>
  </si>
  <si>
    <t xml:space="preserve">Fatura Picpay 1°</t>
  </si>
  <si>
    <t xml:space="preserve">Inter Geo 1°</t>
  </si>
  <si>
    <t xml:space="preserve">IPTU 7°</t>
  </si>
  <si>
    <t xml:space="preserve">WillGeo 1°</t>
  </si>
  <si>
    <t xml:space="preserve">Mei Parc 31°</t>
  </si>
  <si>
    <t xml:space="preserve">Contas de Agosto 23</t>
  </si>
  <si>
    <t xml:space="preserve">Fatura Picpay 2°</t>
  </si>
  <si>
    <t xml:space="preserve">Inter Geo 2°</t>
  </si>
  <si>
    <t xml:space="preserve">IPTU 8°</t>
  </si>
  <si>
    <t xml:space="preserve">WillGeo 2°</t>
  </si>
  <si>
    <t xml:space="preserve">Mei Parc 32°</t>
  </si>
  <si>
    <t xml:space="preserve">Contas de Setembro 23</t>
  </si>
  <si>
    <t xml:space="preserve">Fatura Picpay 3°</t>
  </si>
  <si>
    <t xml:space="preserve">Inter Geo 3°</t>
  </si>
  <si>
    <t xml:space="preserve">Internet Tim</t>
  </si>
  <si>
    <t xml:space="preserve">Mei Parc 33°</t>
  </si>
  <si>
    <t xml:space="preserve">Contas de Outubro 23</t>
  </si>
  <si>
    <t xml:space="preserve">internet Tim</t>
  </si>
  <si>
    <t xml:space="preserve">Inter Geo 4°</t>
  </si>
  <si>
    <t xml:space="preserve">Mei Parc 34°</t>
  </si>
  <si>
    <t xml:space="preserve">Contas de Novembro 23</t>
  </si>
  <si>
    <t xml:space="preserve">Inter Geo 5°</t>
  </si>
  <si>
    <t xml:space="preserve">Mei Parc 35°</t>
  </si>
  <si>
    <t xml:space="preserve">Contas de Dezembro 23</t>
  </si>
  <si>
    <t xml:space="preserve">Inter Geo 6° fim</t>
  </si>
  <si>
    <t xml:space="preserve">Mei Parc 36°/60°</t>
  </si>
  <si>
    <t xml:space="preserve">Contas de Janeiro 24</t>
  </si>
  <si>
    <t xml:space="preserve">Mei Parc 37°/60°</t>
  </si>
  <si>
    <t xml:space="preserve">Contas de Fevereiro 24</t>
  </si>
  <si>
    <t xml:space="preserve">Mei Parc 38°/60°</t>
  </si>
  <si>
    <t xml:space="preserve">Contas de Março 24</t>
  </si>
  <si>
    <t xml:space="preserve">Inter Geo 2° Fossa</t>
  </si>
  <si>
    <t xml:space="preserve">Mei Parc 39°/60°</t>
  </si>
  <si>
    <t xml:space="preserve">Contas de Abril 24</t>
  </si>
  <si>
    <t xml:space="preserve">Inter Geo 3° Fossa</t>
  </si>
  <si>
    <t xml:space="preserve">Mei Parc 40°/60°</t>
  </si>
  <si>
    <t xml:space="preserve">Contas de Maio 24</t>
  </si>
  <si>
    <t xml:space="preserve">Inter</t>
  </si>
  <si>
    <t xml:space="preserve">Next</t>
  </si>
  <si>
    <t xml:space="preserve">Mei Parc 41°/60°</t>
  </si>
  <si>
    <t xml:space="preserve">Contas de Junho 24</t>
  </si>
  <si>
    <t xml:space="preserve">Mei Parc 42°/60°</t>
  </si>
  <si>
    <t xml:space="preserve">Contas de Julho 24</t>
  </si>
  <si>
    <t xml:space="preserve">Mei Parc 43°/60°</t>
  </si>
  <si>
    <t xml:space="preserve">Contas de Agosto 24</t>
  </si>
  <si>
    <t xml:space="preserve">Mei Parc 44°/60°</t>
  </si>
  <si>
    <t xml:space="preserve">Contas de Setembro 24</t>
  </si>
  <si>
    <t xml:space="preserve">internet</t>
  </si>
  <si>
    <t xml:space="preserve">Mei Parc 45°/60°</t>
  </si>
  <si>
    <t xml:space="preserve">Contas de Outubro 24</t>
  </si>
  <si>
    <t xml:space="preserve">Mei Parc 46°/60°</t>
  </si>
  <si>
    <t xml:space="preserve">Contas de Novembro 24</t>
  </si>
  <si>
    <t xml:space="preserve">Mei Parc 47°/60°</t>
  </si>
  <si>
    <t xml:space="preserve">Contas de Dezembro 24</t>
  </si>
  <si>
    <t xml:space="preserve">Mercadopago 1°/ 9°</t>
  </si>
  <si>
    <t xml:space="preserve">Mei Parc 48°/60°</t>
  </si>
  <si>
    <t xml:space="preserve">Contas de Janeiro 25</t>
  </si>
  <si>
    <t xml:space="preserve">Mercadopago 2°/ 9°</t>
  </si>
  <si>
    <t xml:space="preserve">Will 1° / 10°</t>
  </si>
  <si>
    <t xml:space="preserve">Mei Parc 49°/60°</t>
  </si>
  <si>
    <t xml:space="preserve">Contas de Fevereiro 25</t>
  </si>
  <si>
    <t xml:space="preserve">Mercadopago 3°/ 9°</t>
  </si>
  <si>
    <t xml:space="preserve">Will 2° / 10°</t>
  </si>
  <si>
    <t xml:space="preserve">Mei Parc 50°/60°</t>
  </si>
  <si>
    <t xml:space="preserve">Contas de Março 25</t>
  </si>
  <si>
    <t xml:space="preserve">Mercadopago 4°/ 9°</t>
  </si>
  <si>
    <t xml:space="preserve">Will 3° / 10°</t>
  </si>
  <si>
    <t xml:space="preserve">Mei Parc 51°/60°</t>
  </si>
  <si>
    <t xml:space="preserve">Contas de Abril 25</t>
  </si>
  <si>
    <t xml:space="preserve">Mercadopago 5°/ 9°</t>
  </si>
  <si>
    <t xml:space="preserve">Will 4° / 10°</t>
  </si>
  <si>
    <t xml:space="preserve">Mei Parc 52°/60°</t>
  </si>
  <si>
    <t xml:space="preserve">Contas de Maio 25</t>
  </si>
  <si>
    <t xml:space="preserve">Mercadopago 6°/ 9°</t>
  </si>
  <si>
    <t xml:space="preserve">Will 5° / 10°</t>
  </si>
  <si>
    <t xml:space="preserve">Mei Parc 53°/60°</t>
  </si>
  <si>
    <t xml:space="preserve">Contas de Junho 25</t>
  </si>
  <si>
    <t xml:space="preserve">Mercadopago 7°/ 9°</t>
  </si>
  <si>
    <t xml:space="preserve">Will 6° / 10°</t>
  </si>
  <si>
    <t xml:space="preserve">Mei Parc 54°/60°</t>
  </si>
  <si>
    <t xml:space="preserve">Contas de Julho 25</t>
  </si>
  <si>
    <t xml:space="preserve">Mercadopago 8°/ 9°</t>
  </si>
  <si>
    <t xml:space="preserve">Will 7° / 10°</t>
  </si>
  <si>
    <t xml:space="preserve">Mei Parc 55°/60°</t>
  </si>
  <si>
    <t xml:space="preserve">Contas de Agosto 25</t>
  </si>
  <si>
    <t xml:space="preserve">Mercadopago 9°/ 9°</t>
  </si>
  <si>
    <t xml:space="preserve">Will 8° / 10°</t>
  </si>
  <si>
    <t xml:space="preserve">Mei Parc 56°/60°</t>
  </si>
  <si>
    <t xml:space="preserve">Contas de Setembro 25</t>
  </si>
  <si>
    <t xml:space="preserve">Will 9° / 10°</t>
  </si>
  <si>
    <t xml:space="preserve">Mei Parc 57°/60°</t>
  </si>
  <si>
    <t xml:space="preserve">Contas de Outubro 25</t>
  </si>
  <si>
    <t xml:space="preserve">Will 10° / 10°</t>
  </si>
  <si>
    <t xml:space="preserve">Mei Parc 58°/60°</t>
  </si>
  <si>
    <t xml:space="preserve">Contas de Novembro 25</t>
  </si>
  <si>
    <t xml:space="preserve">Will</t>
  </si>
  <si>
    <t xml:space="preserve">Mei Parc 59°/60°</t>
  </si>
  <si>
    <t xml:space="preserve">Contas de Dezembro 25</t>
  </si>
  <si>
    <t xml:space="preserve">Mei Parc 60°/60°</t>
  </si>
  <si>
    <t xml:space="preserve">Contas de Janeiro 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</si>
</sst>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&quot;#,##0.00;[RED]&quot;-R$&quot;#,##0.00"/>
    <numFmt numFmtId="166" formatCode="d/m/yyyy"/>
    <numFmt numFmtId="167" formatCode="[$R$-416]#,##0.00"/>
    <numFmt numFmtId="168" formatCode="0%"/>
    <numFmt numFmtId="169" formatCode="0.00"/>
    <numFmt numFmtId="170" formatCode="&quot;R$&quot;#,##0.000;[RED]&quot;-R$&quot;#,##0.0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2"/>
      <color rgb="FF181717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i val="true"/>
      <sz val="12"/>
      <color rgb="FF000000"/>
      <name val="Lucida Calligraphy"/>
      <family val="0"/>
      <charset val="1"/>
    </font>
    <font>
      <b val="true"/>
      <sz val="14"/>
      <color rgb="FF000000"/>
      <name val="Lucida Calligraphy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5B9BD5"/>
        <bgColor rgb="FF969696"/>
      </patternFill>
    </fill>
    <fill>
      <patternFill patternType="solid">
        <fgColor rgb="FFFFE6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2" xfId="20"/>
    <cellStyle name="Excel Built-in Accent5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1817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00"/>
  <sheetViews>
    <sheetView showFormulas="false" showGridLines="true" showRowColHeaders="true" showZeros="true" rightToLeft="false" tabSelected="true" showOutlineSymbols="true" defaultGridColor="true" view="normal" topLeftCell="A135" colorId="64" zoomScale="100" zoomScaleNormal="100" zoomScalePageLayoutView="100" workbookViewId="0">
      <selection pane="topLeft" activeCell="D413" activeCellId="0" sqref="D41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.66"/>
    <col collapsed="false" customWidth="true" hidden="false" outlineLevel="0" max="2" min="2" style="0" width="14.53"/>
    <col collapsed="false" customWidth="true" hidden="false" outlineLevel="0" max="3" min="3" style="0" width="12.11"/>
    <col collapsed="false" customWidth="true" hidden="false" outlineLevel="0" max="4" min="4" style="0" width="15.74"/>
    <col collapsed="false" customWidth="true" hidden="false" outlineLevel="0" max="5" min="5" style="0" width="10.76"/>
    <col collapsed="false" customWidth="true" hidden="false" outlineLevel="0" max="6" min="6" style="0" width="18.9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1" t="n">
        <v>96.98</v>
      </c>
      <c r="C2" s="2" t="n">
        <v>45012</v>
      </c>
      <c r="D2" s="2" t="n">
        <v>45009</v>
      </c>
      <c r="E2" s="0" t="str">
        <f aca="false">IF(D2&lt;&gt;"","Pago","Em Aberto")</f>
        <v>Pago</v>
      </c>
    </row>
    <row r="3" customFormat="false" ht="15" hidden="false" customHeight="false" outlineLevel="0" collapsed="false">
      <c r="A3" s="0" t="s">
        <v>6</v>
      </c>
      <c r="B3" s="1" t="n">
        <v>5.15</v>
      </c>
      <c r="C3" s="2" t="n">
        <v>45012</v>
      </c>
      <c r="D3" s="2" t="n">
        <v>45009</v>
      </c>
      <c r="E3" s="0" t="str">
        <f aca="false">IF(D3&lt;&gt;"","Pago","Em Aberto")</f>
        <v>Pago</v>
      </c>
    </row>
    <row r="4" customFormat="false" ht="15" hidden="false" customHeight="false" outlineLevel="0" collapsed="false">
      <c r="A4" s="0" t="s">
        <v>7</v>
      </c>
      <c r="B4" s="1" t="n">
        <v>8.8</v>
      </c>
      <c r="C4" s="2" t="n">
        <v>45017</v>
      </c>
      <c r="D4" s="2" t="n">
        <v>45014</v>
      </c>
      <c r="E4" s="0" t="str">
        <f aca="false">IF(D4&lt;&gt;"","Pago","Em Aberto")</f>
        <v>Pago</v>
      </c>
    </row>
    <row r="5" customFormat="false" ht="15" hidden="false" customHeight="false" outlineLevel="0" collapsed="false">
      <c r="A5" s="0" t="s">
        <v>8</v>
      </c>
      <c r="B5" s="1" t="n">
        <v>43.31</v>
      </c>
      <c r="C5" s="2" t="n">
        <v>45004</v>
      </c>
      <c r="D5" s="2" t="n">
        <v>45006</v>
      </c>
      <c r="E5" s="0" t="str">
        <f aca="false">IF(D5&lt;&gt;"","Pago","Em Aberto")</f>
        <v>Pago</v>
      </c>
    </row>
    <row r="6" customFormat="false" ht="15" hidden="false" customHeight="false" outlineLevel="0" collapsed="false">
      <c r="A6" s="0" t="s">
        <v>9</v>
      </c>
      <c r="B6" s="1" t="n">
        <v>300</v>
      </c>
      <c r="C6" s="2" t="n">
        <v>44997</v>
      </c>
      <c r="D6" s="2" t="n">
        <v>44998</v>
      </c>
      <c r="E6" s="0" t="str">
        <f aca="false">IF(D6&lt;&gt;"","Pago","Em Aberto")</f>
        <v>Pago</v>
      </c>
    </row>
    <row r="7" customFormat="false" ht="15" hidden="false" customHeight="false" outlineLevel="0" collapsed="false">
      <c r="A7" s="0" t="s">
        <v>10</v>
      </c>
      <c r="B7" s="1" t="n">
        <v>220.17</v>
      </c>
      <c r="C7" s="2" t="n">
        <v>45009</v>
      </c>
      <c r="D7" s="2" t="n">
        <v>45002</v>
      </c>
      <c r="E7" s="0" t="str">
        <f aca="false">IF(D7&lt;&gt;"","Pago","Em Aberto")</f>
        <v>Pago</v>
      </c>
    </row>
    <row r="8" customFormat="false" ht="15" hidden="false" customHeight="false" outlineLevel="0" collapsed="false">
      <c r="A8" s="0" t="s">
        <v>11</v>
      </c>
      <c r="B8" s="1" t="n">
        <v>173.89</v>
      </c>
      <c r="C8" s="2" t="n">
        <v>45012</v>
      </c>
      <c r="D8" s="2" t="n">
        <v>45009</v>
      </c>
      <c r="E8" s="0" t="str">
        <f aca="false">IF(D8&lt;&gt;"","Pago","Em Aberto")</f>
        <v>Pago</v>
      </c>
    </row>
    <row r="9" customFormat="false" ht="15" hidden="false" customHeight="false" outlineLevel="0" collapsed="false">
      <c r="A9" s="0" t="s">
        <v>12</v>
      </c>
      <c r="B9" s="1" t="n">
        <v>54.49</v>
      </c>
      <c r="C9" s="2" t="n">
        <v>44995</v>
      </c>
      <c r="D9" s="2" t="n">
        <v>44993</v>
      </c>
      <c r="E9" s="0" t="str">
        <f aca="false">IF(D9&lt;&gt;"","Pago","Em Aberto")</f>
        <v>Pago</v>
      </c>
    </row>
    <row r="10" customFormat="false" ht="15" hidden="false" customHeight="false" outlineLevel="0" collapsed="false">
      <c r="A10" s="0" t="s">
        <v>13</v>
      </c>
      <c r="B10" s="1" t="n">
        <v>71.1</v>
      </c>
      <c r="C10" s="2" t="n">
        <v>45005</v>
      </c>
      <c r="D10" s="2" t="n">
        <v>45002</v>
      </c>
      <c r="E10" s="0" t="str">
        <f aca="false">IF(D10&lt;&gt;"","Pago","Em Aberto")</f>
        <v>Pago</v>
      </c>
    </row>
    <row r="11" customFormat="false" ht="15" hidden="false" customHeight="false" outlineLevel="0" collapsed="false">
      <c r="A11" s="0" t="s">
        <v>14</v>
      </c>
      <c r="B11" s="1" t="n">
        <v>152.78</v>
      </c>
      <c r="C11" s="2" t="n">
        <v>45016</v>
      </c>
      <c r="D11" s="2" t="n">
        <v>45013</v>
      </c>
      <c r="E11" s="0" t="str">
        <f aca="false">IF(D11&lt;&gt;"","Pago","Em Aberto")</f>
        <v>Pago</v>
      </c>
    </row>
    <row r="12" customFormat="false" ht="15" hidden="false" customHeight="false" outlineLevel="0" collapsed="false">
      <c r="A12" s="0" t="s">
        <v>15</v>
      </c>
      <c r="B12" s="1" t="n">
        <v>106.95</v>
      </c>
      <c r="C12" s="2" t="n">
        <v>45016</v>
      </c>
      <c r="D12" s="2" t="n">
        <v>45013</v>
      </c>
      <c r="E12" s="0" t="str">
        <f aca="false">IF(D12&lt;&gt;"","Pago","Em Aberto")</f>
        <v>Pago</v>
      </c>
    </row>
    <row r="13" customFormat="false" ht="15" hidden="false" customHeight="false" outlineLevel="0" collapsed="false">
      <c r="A13" s="0" t="s">
        <v>16</v>
      </c>
      <c r="B13" s="1" t="n">
        <v>206.14</v>
      </c>
      <c r="C13" s="2" t="n">
        <v>45000</v>
      </c>
      <c r="D13" s="2" t="n">
        <v>44999</v>
      </c>
      <c r="E13" s="0" t="str">
        <f aca="false">IF(D13&lt;&gt;"","Pago","Em Aberto")</f>
        <v>Pago</v>
      </c>
    </row>
    <row r="14" customFormat="false" ht="15" hidden="false" customHeight="false" outlineLevel="0" collapsed="false">
      <c r="A14" s="0" t="s">
        <v>17</v>
      </c>
      <c r="B14" s="1" t="n">
        <v>28.21</v>
      </c>
      <c r="C14" s="2" t="n">
        <v>45009</v>
      </c>
      <c r="D14" s="2" t="n">
        <v>45006</v>
      </c>
      <c r="E14" s="0" t="str">
        <f aca="false">IF(D14&lt;&gt;"","Pago","Em Aberto")</f>
        <v>Pago</v>
      </c>
    </row>
    <row r="15" customFormat="false" ht="15" hidden="false" customHeight="false" outlineLevel="0" collapsed="false">
      <c r="A15" s="0" t="s">
        <v>18</v>
      </c>
      <c r="B15" s="1" t="n">
        <v>8.8</v>
      </c>
      <c r="C15" s="2" t="n">
        <v>45017</v>
      </c>
      <c r="D15" s="2" t="n">
        <v>45013</v>
      </c>
      <c r="E15" s="0" t="str">
        <f aca="false">IF(D15&lt;&gt;"","Pago","Em Aberto")</f>
        <v>Pago</v>
      </c>
    </row>
    <row r="17" customFormat="false" ht="15" hidden="false" customHeight="false" outlineLevel="0" collapsed="false">
      <c r="A17" s="3" t="s">
        <v>19</v>
      </c>
      <c r="B17" s="4" t="n">
        <f aca="false">SUM(B1:B15)</f>
        <v>1476.77</v>
      </c>
      <c r="D17" s="5" t="n">
        <f aca="false">SUMIFS(B1:B16,D1:D16,"")</f>
        <v>0</v>
      </c>
    </row>
    <row r="18" customFormat="false" ht="16.5" hidden="false" customHeight="false" outlineLevel="0" collapsed="false">
      <c r="A18" s="6" t="s">
        <v>20</v>
      </c>
      <c r="B18" s="1" t="n">
        <v>29.97</v>
      </c>
      <c r="C18" s="2" t="n">
        <v>45021</v>
      </c>
      <c r="D18" s="2" t="n">
        <v>45021</v>
      </c>
      <c r="E18" s="0" t="str">
        <f aca="false">IF(D18&lt;&gt;"","Pago","Em Aberto")</f>
        <v>Pago</v>
      </c>
      <c r="F18" s="7" t="n">
        <f aca="false">IF(B18&lt;&gt;"",B18/B34,"")</f>
        <v>0.010797898787263</v>
      </c>
    </row>
    <row r="19" customFormat="false" ht="16.5" hidden="false" customHeight="false" outlineLevel="0" collapsed="false">
      <c r="A19" s="6" t="s">
        <v>6</v>
      </c>
      <c r="B19" s="1" t="n">
        <v>457.97</v>
      </c>
      <c r="C19" s="2" t="n">
        <v>45042</v>
      </c>
      <c r="D19" s="2" t="n">
        <v>45040</v>
      </c>
      <c r="E19" s="0" t="str">
        <f aca="false">IF(D19&lt;&gt;"","Pago","Em Aberto")</f>
        <v>Pago</v>
      </c>
      <c r="F19" s="7" t="n">
        <f aca="false">IF(B19&lt;&gt;"",B19/B34,"")</f>
        <v>0.165002125712474</v>
      </c>
    </row>
    <row r="20" customFormat="false" ht="16.5" hidden="false" customHeight="false" outlineLevel="0" collapsed="false">
      <c r="A20" s="6" t="s">
        <v>5</v>
      </c>
      <c r="B20" s="1" t="n">
        <v>96.98</v>
      </c>
      <c r="C20" s="2" t="n">
        <v>45042</v>
      </c>
      <c r="D20" s="2" t="n">
        <v>45036</v>
      </c>
      <c r="E20" s="0" t="str">
        <f aca="false">IF(D20&lt;&gt;"","Pago","Em Aberto")</f>
        <v>Pago</v>
      </c>
      <c r="F20" s="7" t="n">
        <f aca="false">IF(B20&lt;&gt;"",B20/B34,"")</f>
        <v>0.0349409484280536</v>
      </c>
    </row>
    <row r="21" customFormat="false" ht="16.5" hidden="false" customHeight="false" outlineLevel="0" collapsed="false">
      <c r="A21" s="6" t="s">
        <v>21</v>
      </c>
      <c r="B21" s="1" t="n">
        <v>300</v>
      </c>
      <c r="C21" s="2" t="n">
        <v>45026</v>
      </c>
      <c r="D21" s="2" t="n">
        <v>45026</v>
      </c>
      <c r="E21" s="0" t="str">
        <f aca="false">IF(D21&lt;&gt;"","Pago","Em Aberto")</f>
        <v>Pago</v>
      </c>
      <c r="F21" s="7" t="n">
        <f aca="false">IF(B21&lt;&gt;"",B21/B34,"")</f>
        <v>0.108087074947578</v>
      </c>
    </row>
    <row r="22" customFormat="false" ht="16.5" hidden="false" customHeight="false" outlineLevel="0" collapsed="false">
      <c r="A22" s="6" t="s">
        <v>22</v>
      </c>
      <c r="B22" s="1" t="n">
        <v>300</v>
      </c>
      <c r="C22" s="2" t="n">
        <v>45027</v>
      </c>
      <c r="D22" s="2" t="n">
        <v>45027</v>
      </c>
      <c r="E22" s="0" t="str">
        <f aca="false">IF(D22&lt;&gt;"","Pago","Em Aberto")</f>
        <v>Pago</v>
      </c>
      <c r="F22" s="7" t="n">
        <f aca="false">IF(B22&lt;&gt;"",B22/B34,"")</f>
        <v>0.108087074947578</v>
      </c>
    </row>
    <row r="23" customFormat="false" ht="16.5" hidden="false" customHeight="false" outlineLevel="0" collapsed="false">
      <c r="A23" s="6" t="s">
        <v>11</v>
      </c>
      <c r="B23" s="1" t="n">
        <v>522.58</v>
      </c>
      <c r="C23" s="2" t="n">
        <v>45041</v>
      </c>
      <c r="D23" s="2" t="n">
        <v>45040</v>
      </c>
      <c r="E23" s="0" t="str">
        <f aca="false">IF(D23&lt;&gt;"","Pago","Em Aberto")</f>
        <v>Pago</v>
      </c>
      <c r="F23" s="7" t="n">
        <f aca="false">IF(B23&lt;&gt;"",B23/B34,"")</f>
        <v>0.188280478753684</v>
      </c>
    </row>
    <row r="24" customFormat="false" ht="16.5" hidden="false" customHeight="false" outlineLevel="0" collapsed="false">
      <c r="A24" s="6" t="s">
        <v>18</v>
      </c>
      <c r="B24" s="1" t="n">
        <v>8.98</v>
      </c>
      <c r="C24" s="2" t="n">
        <v>45048</v>
      </c>
      <c r="D24" s="2" t="n">
        <v>45048</v>
      </c>
      <c r="E24" s="0" t="str">
        <f aca="false">IF(D24&lt;&gt;"","Pago","Em Aberto")</f>
        <v>Pago</v>
      </c>
      <c r="F24" s="7" t="n">
        <f aca="false">IF(B24&lt;&gt;"",B24/B34,"")</f>
        <v>0.00323540644343083</v>
      </c>
    </row>
    <row r="25" customFormat="false" ht="16.5" hidden="false" customHeight="false" outlineLevel="0" collapsed="false">
      <c r="A25" s="6" t="s">
        <v>17</v>
      </c>
      <c r="B25" s="1" t="n">
        <v>29.12</v>
      </c>
      <c r="C25" s="2" t="n">
        <v>45041</v>
      </c>
      <c r="D25" s="2" t="n">
        <v>45036</v>
      </c>
      <c r="E25" s="0" t="str">
        <f aca="false">IF(D25&lt;&gt;"","Pago","Em Aberto")</f>
        <v>Pago</v>
      </c>
      <c r="F25" s="7" t="n">
        <f aca="false">IF(B25&lt;&gt;"",B25/B34,"")</f>
        <v>0.0104916520749116</v>
      </c>
    </row>
    <row r="26" customFormat="false" ht="16.5" hidden="false" customHeight="false" outlineLevel="0" collapsed="false">
      <c r="A26" s="6" t="s">
        <v>23</v>
      </c>
      <c r="B26" s="1" t="n">
        <v>357.88</v>
      </c>
      <c r="C26" s="2" t="n">
        <v>45041</v>
      </c>
      <c r="D26" s="2" t="n">
        <v>45036</v>
      </c>
      <c r="E26" s="0" t="str">
        <f aca="false">IF(D26&lt;&gt;"","Pago","Em Aberto")</f>
        <v>Pago</v>
      </c>
      <c r="F26" s="7" t="n">
        <f aca="false">IF(B26&lt;&gt;"",B26/B34,"")</f>
        <v>0.128940674607464</v>
      </c>
    </row>
    <row r="27" customFormat="false" ht="16.5" hidden="false" customHeight="false" outlineLevel="0" collapsed="false">
      <c r="A27" s="6" t="s">
        <v>13</v>
      </c>
      <c r="B27" s="1" t="n">
        <v>71.1</v>
      </c>
      <c r="C27" s="2" t="n">
        <v>45036</v>
      </c>
      <c r="D27" s="2" t="n">
        <v>45034</v>
      </c>
      <c r="E27" s="0" t="str">
        <f aca="false">IF(D27&lt;&gt;"","Pago","Em Aberto")</f>
        <v>Pago</v>
      </c>
      <c r="F27" s="7" t="n">
        <f aca="false">IF(B27&lt;&gt;"",B27/B34,"")</f>
        <v>0.0256166367625759</v>
      </c>
    </row>
    <row r="28" customFormat="false" ht="16.5" hidden="false" customHeight="false" outlineLevel="0" collapsed="false">
      <c r="A28" s="6" t="s">
        <v>24</v>
      </c>
      <c r="B28" s="1" t="n">
        <v>154.28</v>
      </c>
      <c r="C28" s="2" t="n">
        <v>45044</v>
      </c>
      <c r="D28" s="2" t="n">
        <v>45043</v>
      </c>
      <c r="E28" s="0" t="str">
        <f aca="false">IF(D28&lt;&gt;"","Pago","Em Aberto")</f>
        <v>Pago</v>
      </c>
      <c r="F28" s="7" t="n">
        <f aca="false">IF(B28&lt;&gt;"",B28/B34,"")</f>
        <v>0.055585579743041</v>
      </c>
    </row>
    <row r="29" customFormat="false" ht="16.5" hidden="false" customHeight="false" outlineLevel="0" collapsed="false">
      <c r="A29" s="6" t="s">
        <v>10</v>
      </c>
      <c r="B29" s="1" t="n">
        <v>285.24</v>
      </c>
      <c r="C29" s="2" t="n">
        <v>45040</v>
      </c>
      <c r="D29" s="2" t="n">
        <v>45036</v>
      </c>
      <c r="E29" s="0" t="str">
        <f aca="false">IF(D29&lt;&gt;"","Pago","Em Aberto")</f>
        <v>Pago</v>
      </c>
      <c r="F29" s="7" t="n">
        <f aca="false">IF(B29&lt;&gt;"",B29/B34,"")</f>
        <v>0.102769190860157</v>
      </c>
    </row>
    <row r="30" customFormat="false" ht="16.5" hidden="false" customHeight="false" outlineLevel="0" collapsed="false">
      <c r="A30" s="6" t="s">
        <v>25</v>
      </c>
      <c r="B30" s="1" t="n">
        <v>106.95</v>
      </c>
      <c r="C30" s="2" t="n">
        <v>45044</v>
      </c>
      <c r="D30" s="2" t="n">
        <v>45043</v>
      </c>
      <c r="E30" s="0" t="str">
        <f aca="false">IF(D30&lt;&gt;"","Pago","Em Aberto")</f>
        <v>Pago</v>
      </c>
      <c r="F30" s="7" t="n">
        <f aca="false">IF(B30&lt;&gt;"",B30/B34,"")</f>
        <v>0.0385330422188115</v>
      </c>
    </row>
    <row r="31" customFormat="false" ht="16.5" hidden="false" customHeight="false" outlineLevel="0" collapsed="false">
      <c r="A31" s="6" t="s">
        <v>26</v>
      </c>
      <c r="B31" s="1" t="n">
        <v>54.49</v>
      </c>
      <c r="C31" s="2" t="n">
        <v>45026</v>
      </c>
      <c r="D31" s="2" t="n">
        <v>45026</v>
      </c>
      <c r="E31" s="0" t="str">
        <f aca="false">IF(D31&lt;&gt;"","Pago","Em Aberto")</f>
        <v>Pago</v>
      </c>
      <c r="F31" s="7" t="n">
        <f aca="false">IF(B31&lt;&gt;"",B31/B34,"")</f>
        <v>0.0196322157129784</v>
      </c>
    </row>
    <row r="34" customFormat="false" ht="15" hidden="false" customHeight="false" outlineLevel="0" collapsed="false">
      <c r="B34" s="4" t="n">
        <f aca="false">SUM(B18:B32)</f>
        <v>2775.54</v>
      </c>
      <c r="D34" s="5" t="n">
        <f aca="false">SUMIFS(B18:B33,D18:D33,"")</f>
        <v>0</v>
      </c>
    </row>
    <row r="35" customFormat="false" ht="15" hidden="false" customHeight="false" outlineLevel="0" collapsed="false">
      <c r="A35" s="0" t="s">
        <v>27</v>
      </c>
      <c r="C35" s="8"/>
      <c r="D35" s="8"/>
    </row>
    <row r="36" customFormat="false" ht="16.5" hidden="false" customHeight="false" outlineLevel="0" collapsed="false">
      <c r="A36" s="6" t="s">
        <v>20</v>
      </c>
      <c r="B36" s="1" t="n">
        <v>63.86</v>
      </c>
      <c r="C36" s="2" t="n">
        <v>45054</v>
      </c>
      <c r="D36" s="2" t="n">
        <v>45054</v>
      </c>
      <c r="E36" s="0" t="str">
        <f aca="false">IF(D36&lt;&gt;"","Pago","Em Aberto")</f>
        <v>Pago</v>
      </c>
      <c r="F36" s="7" t="n">
        <f aca="false">IF(B36&lt;&gt;"",B36/$B$52,"")</f>
        <v>0.0342657230089018</v>
      </c>
    </row>
    <row r="37" customFormat="false" ht="16.5" hidden="false" customHeight="false" outlineLevel="0" collapsed="false">
      <c r="A37" s="6" t="s">
        <v>6</v>
      </c>
      <c r="B37" s="1" t="n">
        <v>60.63</v>
      </c>
      <c r="C37" s="2" t="n">
        <v>45071</v>
      </c>
      <c r="D37" s="2" t="n">
        <v>45065</v>
      </c>
      <c r="E37" s="0" t="str">
        <f aca="false">IF(D37&lt;&gt;"","Pago","Em Aberto")</f>
        <v>Pago</v>
      </c>
      <c r="F37" s="7" t="n">
        <f aca="false">IF(B37&lt;&gt;"",B37/$B$52,"")</f>
        <v>0.032532583558248</v>
      </c>
    </row>
    <row r="38" customFormat="false" ht="16.5" hidden="false" customHeight="false" outlineLevel="0" collapsed="false">
      <c r="A38" s="6" t="s">
        <v>5</v>
      </c>
      <c r="B38" s="1" t="n">
        <v>96.98</v>
      </c>
      <c r="C38" s="2" t="n">
        <v>45071</v>
      </c>
      <c r="D38" s="2" t="n">
        <v>45065</v>
      </c>
      <c r="E38" s="0" t="str">
        <f aca="false">IF(D38&lt;&gt;"","Pago","Em Aberto")</f>
        <v>Pago</v>
      </c>
      <c r="F38" s="7" t="n">
        <f aca="false">IF(B38&lt;&gt;"",B38/$B$52,"")</f>
        <v>0.0520371095741199</v>
      </c>
    </row>
    <row r="39" customFormat="false" ht="16.5" hidden="false" customHeight="false" outlineLevel="0" collapsed="false">
      <c r="A39" s="6" t="s">
        <v>21</v>
      </c>
      <c r="B39" s="1" t="n">
        <v>300</v>
      </c>
      <c r="C39" s="2" t="n">
        <v>45056</v>
      </c>
      <c r="D39" s="2" t="n">
        <v>45056</v>
      </c>
      <c r="E39" s="0" t="str">
        <f aca="false">IF(D39&lt;&gt;"","Pago","Em Aberto")</f>
        <v>Pago</v>
      </c>
      <c r="F39" s="7" t="n">
        <f aca="false">IF(B39&lt;&gt;"",B39/$B$52,"")</f>
        <v>0.160972704395091</v>
      </c>
    </row>
    <row r="40" customFormat="false" ht="16.5" hidden="false" customHeight="false" outlineLevel="0" collapsed="false">
      <c r="A40" s="6" t="s">
        <v>22</v>
      </c>
      <c r="B40" s="1" t="n">
        <v>300</v>
      </c>
      <c r="C40" s="2" t="n">
        <v>45057</v>
      </c>
      <c r="D40" s="2" t="n">
        <v>45058</v>
      </c>
      <c r="E40" s="0" t="str">
        <f aca="false">IF(D40&lt;&gt;"","Pago","Em Aberto")</f>
        <v>Pago</v>
      </c>
      <c r="F40" s="7" t="n">
        <f aca="false">IF(B40&lt;&gt;"",B40/$B$52,"")</f>
        <v>0.160972704395091</v>
      </c>
    </row>
    <row r="41" customFormat="false" ht="16.5" hidden="false" customHeight="false" outlineLevel="0" collapsed="false">
      <c r="A41" s="6" t="s">
        <v>11</v>
      </c>
      <c r="B41" s="1" t="n">
        <v>61.99</v>
      </c>
      <c r="C41" s="2" t="n">
        <v>45071</v>
      </c>
      <c r="D41" s="2" t="n">
        <v>45068</v>
      </c>
      <c r="E41" s="0" t="str">
        <f aca="false">IF(D41&lt;&gt;"","Pago","Em Aberto")</f>
        <v>Pago</v>
      </c>
      <c r="F41" s="7" t="n">
        <f aca="false">IF(B41&lt;&gt;"",B41/$B$52,"")</f>
        <v>0.0332623264848391</v>
      </c>
    </row>
    <row r="42" customFormat="false" ht="16.5" hidden="false" customHeight="false" outlineLevel="0" collapsed="false">
      <c r="A42" s="6" t="s">
        <v>18</v>
      </c>
      <c r="B42" s="1" t="n">
        <v>9</v>
      </c>
      <c r="C42" s="2" t="n">
        <v>45078</v>
      </c>
      <c r="D42" s="2" t="n">
        <v>45078</v>
      </c>
      <c r="E42" s="0" t="str">
        <f aca="false">IF(D42&lt;&gt;"","Pago","Em Aberto")</f>
        <v>Pago</v>
      </c>
      <c r="F42" s="7" t="n">
        <f aca="false">IF(B42&lt;&gt;"",B42/$B$52,"")</f>
        <v>0.00482918113185274</v>
      </c>
    </row>
    <row r="43" customFormat="false" ht="16.5" hidden="false" customHeight="false" outlineLevel="0" collapsed="false">
      <c r="A43" s="6" t="s">
        <v>17</v>
      </c>
      <c r="B43" s="1" t="n">
        <v>32.22</v>
      </c>
      <c r="C43" s="2" t="n">
        <v>45071</v>
      </c>
      <c r="D43" s="2" t="n">
        <v>45065</v>
      </c>
      <c r="E43" s="0" t="str">
        <f aca="false">IF(D43&lt;&gt;"","Pago","Em Aberto")</f>
        <v>Pago</v>
      </c>
      <c r="F43" s="7" t="n">
        <f aca="false">IF(B43&lt;&gt;"",B43/$B$52,"")</f>
        <v>0.0172884684520328</v>
      </c>
    </row>
    <row r="44" customFormat="false" ht="16.5" hidden="false" customHeight="false" outlineLevel="0" collapsed="false">
      <c r="A44" s="6" t="s">
        <v>23</v>
      </c>
      <c r="B44" s="1" t="n">
        <v>0</v>
      </c>
      <c r="C44" s="2" t="n">
        <v>45071</v>
      </c>
      <c r="D44" s="2" t="n">
        <v>45065</v>
      </c>
      <c r="E44" s="0" t="str">
        <f aca="false">IF(D44&lt;&gt;"","Pago","Em Aberto")</f>
        <v>Pago</v>
      </c>
      <c r="F44" s="7" t="n">
        <f aca="false">IF(B44&lt;&gt;"",B44/$B$52,"")</f>
        <v>0</v>
      </c>
    </row>
    <row r="45" customFormat="false" ht="16.5" hidden="false" customHeight="false" outlineLevel="0" collapsed="false">
      <c r="A45" s="6" t="s">
        <v>13</v>
      </c>
      <c r="B45" s="1" t="n">
        <v>71.1</v>
      </c>
      <c r="C45" s="2" t="n">
        <v>45066</v>
      </c>
      <c r="D45" s="2" t="n">
        <v>45062</v>
      </c>
      <c r="E45" s="0" t="str">
        <f aca="false">IF(D45&lt;&gt;"","Pago","Em Aberto")</f>
        <v>Pago</v>
      </c>
      <c r="F45" s="7" t="n">
        <f aca="false">IF(B45&lt;&gt;"",B45/$B$52,"")</f>
        <v>0.0381505309416367</v>
      </c>
    </row>
    <row r="46" customFormat="false" ht="16.5" hidden="false" customHeight="false" outlineLevel="0" collapsed="false">
      <c r="A46" s="6" t="s">
        <v>28</v>
      </c>
      <c r="B46" s="1" t="n">
        <v>155.46</v>
      </c>
      <c r="C46" s="2" t="n">
        <v>45076</v>
      </c>
      <c r="D46" s="2" t="n">
        <v>45075</v>
      </c>
      <c r="E46" s="0" t="str">
        <f aca="false">IF(D46&lt;&gt;"","Pago","Em Aberto")</f>
        <v>Pago</v>
      </c>
      <c r="F46" s="7" t="n">
        <f aca="false">IF(B46&lt;&gt;"",B46/$B$52,"")</f>
        <v>0.0834160554175364</v>
      </c>
    </row>
    <row r="47" customFormat="false" ht="16.5" hidden="false" customHeight="false" outlineLevel="0" collapsed="false">
      <c r="A47" s="6" t="s">
        <v>10</v>
      </c>
      <c r="B47" s="1" t="n">
        <v>220</v>
      </c>
      <c r="C47" s="2" t="n">
        <v>45071</v>
      </c>
      <c r="D47" s="2" t="n">
        <v>45065</v>
      </c>
      <c r="E47" s="0" t="str">
        <f aca="false">IF(D47&lt;&gt;"","Pago","Em Aberto")</f>
        <v>Pago</v>
      </c>
      <c r="F47" s="7" t="n">
        <f aca="false">IF(B47&lt;&gt;"",B47/$B$52,"")</f>
        <v>0.118046649889734</v>
      </c>
    </row>
    <row r="48" customFormat="false" ht="16.5" hidden="false" customHeight="false" outlineLevel="0" collapsed="false">
      <c r="A48" s="6" t="s">
        <v>29</v>
      </c>
      <c r="B48" s="1" t="n">
        <v>106.95</v>
      </c>
      <c r="C48" s="2" t="n">
        <v>45076</v>
      </c>
      <c r="D48" s="2" t="n">
        <v>45075</v>
      </c>
      <c r="E48" s="0" t="str">
        <f aca="false">IF(D48&lt;&gt;"","Pago","Em Aberto")</f>
        <v>Pago</v>
      </c>
      <c r="F48" s="7" t="n">
        <f aca="false">IF(B48&lt;&gt;"",B48/$B$52,"")</f>
        <v>0.0573867691168501</v>
      </c>
    </row>
    <row r="49" customFormat="false" ht="16.5" hidden="false" customHeight="false" outlineLevel="0" collapsed="false">
      <c r="A49" s="6" t="s">
        <v>30</v>
      </c>
      <c r="B49" s="1" t="n">
        <v>54.49</v>
      </c>
      <c r="C49" s="2" t="n">
        <v>45056</v>
      </c>
      <c r="D49" s="2" t="n">
        <v>45056</v>
      </c>
      <c r="E49" s="0" t="str">
        <f aca="false">IF(D49&lt;&gt;"","Pago","Em Aberto")</f>
        <v>Pago</v>
      </c>
      <c r="F49" s="7" t="n">
        <f aca="false">IF(B49&lt;&gt;"",B49/$B$52,"")</f>
        <v>0.0292380088749618</v>
      </c>
    </row>
    <row r="50" customFormat="false" ht="16.5" hidden="false" customHeight="false" outlineLevel="0" collapsed="false">
      <c r="A50" s="6" t="s">
        <v>31</v>
      </c>
      <c r="B50" s="1" t="n">
        <v>290.43</v>
      </c>
      <c r="C50" s="2" t="n">
        <v>45061</v>
      </c>
      <c r="D50" s="2" t="n">
        <v>45061</v>
      </c>
      <c r="E50" s="0" t="str">
        <f aca="false">IF(D50&lt;&gt;"","Pago","Em Aberto")</f>
        <v>Pago</v>
      </c>
      <c r="F50" s="7" t="n">
        <f aca="false">IF(B50&lt;&gt;"",B50/$B$52,"")</f>
        <v>0.155837675124888</v>
      </c>
    </row>
    <row r="51" customFormat="false" ht="16.5" hidden="false" customHeight="false" outlineLevel="0" collapsed="false">
      <c r="A51" s="6" t="s">
        <v>32</v>
      </c>
      <c r="B51" s="1" t="n">
        <v>40.56</v>
      </c>
      <c r="C51" s="2" t="n">
        <v>45061</v>
      </c>
      <c r="D51" s="2" t="n">
        <v>45058</v>
      </c>
      <c r="E51" s="0" t="str">
        <f aca="false">IF(D51&lt;&gt;"","Pago","Em Aberto")</f>
        <v>Pago</v>
      </c>
      <c r="F51" s="7" t="n">
        <f aca="false">IF(B51&lt;&gt;"",B51/$B$52,"")</f>
        <v>0.0217635096342164</v>
      </c>
    </row>
    <row r="52" customFormat="false" ht="15" hidden="false" customHeight="false" outlineLevel="0" collapsed="false">
      <c r="B52" s="4" t="n">
        <f aca="false">SUM(B36:B51)</f>
        <v>1863.67</v>
      </c>
      <c r="D52" s="5" t="n">
        <f aca="false">SUMIFS(B36:B51,D36:D51,"")</f>
        <v>0</v>
      </c>
      <c r="F52" s="9"/>
    </row>
    <row r="53" customFormat="false" ht="31.5" hidden="false" customHeight="true" outlineLevel="0" collapsed="false">
      <c r="A53" s="10" t="s">
        <v>33</v>
      </c>
      <c r="B53" s="10"/>
      <c r="C53" s="10"/>
      <c r="D53" s="10"/>
      <c r="E53" s="10"/>
      <c r="F53" s="10"/>
    </row>
    <row r="54" customFormat="false" ht="16.5" hidden="false" customHeight="false" outlineLevel="0" collapsed="false">
      <c r="A54" s="6" t="s">
        <v>18</v>
      </c>
      <c r="B54" s="1" t="n">
        <v>8.8</v>
      </c>
      <c r="C54" s="2" t="n">
        <v>45112</v>
      </c>
      <c r="D54" s="2" t="n">
        <v>45111</v>
      </c>
      <c r="E54" s="0" t="str">
        <f aca="false">IF(D54&lt;&gt;"","Pago","Em Aberto")</f>
        <v>Pago</v>
      </c>
      <c r="F54" s="7" t="n">
        <f aca="false">IF(B54&lt;&gt;"",B54/$B$52,"")</f>
        <v>0.00472186599558935</v>
      </c>
    </row>
    <row r="55" customFormat="false" ht="16.5" hidden="false" customHeight="false" outlineLevel="0" collapsed="false">
      <c r="A55" s="6" t="s">
        <v>22</v>
      </c>
      <c r="B55" s="1" t="n">
        <v>300</v>
      </c>
      <c r="C55" s="2" t="n">
        <v>45088</v>
      </c>
      <c r="D55" s="2" t="n">
        <v>45089</v>
      </c>
      <c r="E55" s="0" t="str">
        <f aca="false">IF(D55&lt;&gt;"","Pago","Em Aberto")</f>
        <v>Pago</v>
      </c>
      <c r="F55" s="7" t="n">
        <f aca="false">IF(B55&lt;&gt;"",B55/$B$52,"")</f>
        <v>0.160972704395091</v>
      </c>
    </row>
    <row r="56" customFormat="false" ht="16.5" hidden="false" customHeight="false" outlineLevel="0" collapsed="false">
      <c r="A56" s="6" t="s">
        <v>21</v>
      </c>
      <c r="B56" s="1" t="n">
        <v>300</v>
      </c>
      <c r="C56" s="2" t="n">
        <v>45087</v>
      </c>
      <c r="D56" s="2" t="n">
        <v>45089</v>
      </c>
      <c r="E56" s="0" t="str">
        <f aca="false">IF(D56&lt;&gt;"","Pago","Em Aberto")</f>
        <v>Pago</v>
      </c>
      <c r="F56" s="7" t="n">
        <f aca="false">IF(B56&lt;&gt;"",B56/$B$52,"")</f>
        <v>0.160972704395091</v>
      </c>
    </row>
    <row r="57" customFormat="false" ht="16.5" hidden="false" customHeight="false" outlineLevel="0" collapsed="false">
      <c r="A57" s="6" t="s">
        <v>32</v>
      </c>
      <c r="B57" s="1" t="n">
        <v>141.29</v>
      </c>
      <c r="C57" s="2" t="n">
        <v>45092</v>
      </c>
      <c r="D57" s="2" t="n">
        <v>45091</v>
      </c>
      <c r="E57" s="0" t="str">
        <f aca="false">IF(D57&lt;&gt;"","Pago","Em Aberto")</f>
        <v>Pago</v>
      </c>
      <c r="F57" s="7" t="n">
        <f aca="false">IF(B57&lt;&gt;"",B57/$B$52,"")</f>
        <v>0.0758127780132749</v>
      </c>
    </row>
    <row r="58" customFormat="false" ht="16.5" hidden="false" customHeight="false" outlineLevel="0" collapsed="false">
      <c r="A58" s="6" t="s">
        <v>31</v>
      </c>
      <c r="B58" s="1" t="n">
        <v>0</v>
      </c>
      <c r="C58" s="2" t="n">
        <v>45092</v>
      </c>
      <c r="D58" s="2" t="n">
        <v>45090</v>
      </c>
      <c r="E58" s="0" t="str">
        <f aca="false">IF(D58&lt;&gt;"","Pago","Em Aberto")</f>
        <v>Pago</v>
      </c>
      <c r="F58" s="7" t="n">
        <f aca="false">IF(B58&lt;&gt;"",B58/$B$52,"")</f>
        <v>0</v>
      </c>
    </row>
    <row r="59" customFormat="false" ht="16.5" hidden="false" customHeight="false" outlineLevel="0" collapsed="false">
      <c r="A59" s="6" t="s">
        <v>23</v>
      </c>
      <c r="B59" s="1" t="n">
        <v>99.35</v>
      </c>
      <c r="C59" s="2" t="n">
        <v>45102</v>
      </c>
      <c r="D59" s="2" t="n">
        <v>45100</v>
      </c>
      <c r="E59" s="0" t="str">
        <f aca="false">IF(D59&lt;&gt;"","Pago","Em Aberto")</f>
        <v>Pago</v>
      </c>
      <c r="F59" s="7" t="n">
        <f aca="false">IF(B59&lt;&gt;"",B59/$B$52,"")</f>
        <v>0.0533087939388411</v>
      </c>
    </row>
    <row r="60" customFormat="false" ht="16.5" hidden="false" customHeight="false" outlineLevel="0" collapsed="false">
      <c r="A60" s="6" t="s">
        <v>34</v>
      </c>
      <c r="B60" s="1" t="n">
        <v>54.49</v>
      </c>
      <c r="C60" s="2" t="n">
        <v>45089</v>
      </c>
      <c r="D60" s="2" t="n">
        <v>45085</v>
      </c>
      <c r="E60" s="0" t="str">
        <f aca="false">IF(D60&lt;&gt;"","Pago","Em Aberto")</f>
        <v>Pago</v>
      </c>
      <c r="F60" s="7" t="n">
        <f aca="false">IF(B60&lt;&gt;"",B60/$B$52,"")</f>
        <v>0.0292380088749618</v>
      </c>
    </row>
    <row r="61" customFormat="false" ht="16.5" hidden="false" customHeight="false" outlineLevel="0" collapsed="false">
      <c r="A61" s="6" t="s">
        <v>17</v>
      </c>
      <c r="B61" s="1" t="n">
        <v>30.62</v>
      </c>
      <c r="C61" s="2" t="n">
        <v>45103</v>
      </c>
      <c r="D61" s="2" t="n">
        <v>45100</v>
      </c>
      <c r="E61" s="0" t="str">
        <f aca="false">IF(D61&lt;&gt;"","Pago","Em Aberto")</f>
        <v>Pago</v>
      </c>
      <c r="F61" s="7" t="n">
        <f aca="false">IF(B61&lt;&gt;"",B61/$B$52,"")</f>
        <v>0.0164299473619257</v>
      </c>
    </row>
    <row r="62" customFormat="false" ht="16.5" hidden="false" customHeight="false" outlineLevel="0" collapsed="false">
      <c r="A62" s="6" t="s">
        <v>20</v>
      </c>
      <c r="B62" s="1" t="n">
        <v>60.47</v>
      </c>
      <c r="C62" s="2" t="n">
        <v>45083</v>
      </c>
      <c r="D62" s="2" t="n">
        <v>45083</v>
      </c>
      <c r="E62" s="0" t="str">
        <f aca="false">IF(D62&lt;&gt;"","Pago","Em Aberto")</f>
        <v>Pago</v>
      </c>
      <c r="F62" s="7" t="n">
        <f aca="false">IF(B62&lt;&gt;"",B62/$B$52,"")</f>
        <v>0.0324467314492373</v>
      </c>
    </row>
    <row r="63" customFormat="false" ht="16.5" hidden="false" customHeight="false" outlineLevel="0" collapsed="false">
      <c r="A63" s="6" t="s">
        <v>13</v>
      </c>
      <c r="B63" s="1" t="n">
        <v>72</v>
      </c>
      <c r="C63" s="2" t="n">
        <v>45097</v>
      </c>
      <c r="D63" s="2" t="n">
        <v>45096</v>
      </c>
      <c r="E63" s="0" t="str">
        <f aca="false">IF(D63&lt;&gt;"","Pago","Em Aberto")</f>
        <v>Pago</v>
      </c>
      <c r="F63" s="7" t="n">
        <f aca="false">IF(B63&lt;&gt;"",B63/$B$52,"")</f>
        <v>0.0386334490548219</v>
      </c>
    </row>
    <row r="64" customFormat="false" ht="16.5" hidden="false" customHeight="false" outlineLevel="0" collapsed="false">
      <c r="A64" s="6" t="s">
        <v>6</v>
      </c>
      <c r="B64" s="1" t="n">
        <v>280.63</v>
      </c>
      <c r="C64" s="2" t="n">
        <v>45103</v>
      </c>
      <c r="D64" s="2" t="n">
        <v>45100</v>
      </c>
      <c r="E64" s="0" t="str">
        <f aca="false">IF(D64&lt;&gt;"","Pago","Em Aberto")</f>
        <v>Pago</v>
      </c>
      <c r="F64" s="7" t="n">
        <f aca="false">IF(B64&lt;&gt;"",B64/$B$52,"")</f>
        <v>0.150579233447982</v>
      </c>
    </row>
    <row r="65" customFormat="false" ht="16.5" hidden="false" customHeight="false" outlineLevel="0" collapsed="false">
      <c r="A65" s="6" t="s">
        <v>10</v>
      </c>
      <c r="B65" s="1" t="n">
        <v>0</v>
      </c>
      <c r="C65" s="2" t="n">
        <v>45102</v>
      </c>
      <c r="D65" s="2" t="n">
        <v>45099</v>
      </c>
      <c r="E65" s="0" t="str">
        <f aca="false">IF(D65&lt;&gt;"","Pago","Em Aberto")</f>
        <v>Pago</v>
      </c>
      <c r="F65" s="7" t="n">
        <f aca="false">IF(B65&lt;&gt;"",B65/$B$52,"")</f>
        <v>0</v>
      </c>
    </row>
    <row r="66" customFormat="false" ht="16.5" hidden="false" customHeight="false" outlineLevel="0" collapsed="false">
      <c r="A66" s="6" t="s">
        <v>35</v>
      </c>
      <c r="B66" s="1" t="n">
        <v>96.98</v>
      </c>
      <c r="C66" s="2" t="n">
        <v>45103</v>
      </c>
      <c r="D66" s="2" t="n">
        <v>45100</v>
      </c>
      <c r="E66" s="0" t="str">
        <f aca="false">IF(D66&lt;&gt;"","Pago","Em Aberto")</f>
        <v>Pago</v>
      </c>
      <c r="F66" s="7" t="n">
        <f aca="false">IF(B66&lt;&gt;"",B66/$B$52,"")</f>
        <v>0.0520371095741199</v>
      </c>
    </row>
    <row r="67" customFormat="false" ht="16.5" hidden="false" customHeight="false" outlineLevel="0" collapsed="false">
      <c r="A67" s="6" t="s">
        <v>11</v>
      </c>
      <c r="B67" s="1" t="n">
        <v>164.11</v>
      </c>
      <c r="C67" s="2" t="n">
        <v>45103</v>
      </c>
      <c r="D67" s="2" t="n">
        <v>45100</v>
      </c>
      <c r="E67" s="0" t="str">
        <f aca="false">IF(D67&lt;&gt;"","Pago","Em Aberto")</f>
        <v>Pago</v>
      </c>
      <c r="F67" s="7" t="n">
        <f aca="false">IF(B67&lt;&gt;"",B67/$B$52,"")</f>
        <v>0.0880574350609282</v>
      </c>
    </row>
    <row r="68" customFormat="false" ht="16.5" hidden="false" customHeight="false" outlineLevel="0" collapsed="false">
      <c r="A68" s="6" t="s">
        <v>36</v>
      </c>
      <c r="B68" s="1" t="n">
        <v>156.95</v>
      </c>
      <c r="C68" s="2" t="n">
        <v>45107</v>
      </c>
      <c r="D68" s="2" t="n">
        <v>45103</v>
      </c>
      <c r="E68" s="0" t="str">
        <f aca="false">IF(D68&lt;&gt;"","Pago","Em Aberto")</f>
        <v>Pago</v>
      </c>
      <c r="F68" s="7" t="n">
        <f aca="false">IF(B68&lt;&gt;"",B68/$B$52,"")</f>
        <v>0.0842155531826987</v>
      </c>
    </row>
    <row r="69" customFormat="false" ht="15" hidden="false" customHeight="false" outlineLevel="0" collapsed="false">
      <c r="B69" s="4" t="n">
        <f aca="false">SUM(B54:B68)</f>
        <v>1765.69</v>
      </c>
      <c r="D69" s="5" t="n">
        <f aca="false">SUMIFS(B54:B68,D54:D68,"")</f>
        <v>0</v>
      </c>
      <c r="F69" s="9"/>
    </row>
    <row r="70" customFormat="false" ht="18.75" hidden="false" customHeight="false" outlineLevel="0" collapsed="false">
      <c r="A70" s="10" t="s">
        <v>37</v>
      </c>
      <c r="B70" s="10"/>
      <c r="C70" s="10"/>
      <c r="D70" s="10"/>
      <c r="E70" s="10"/>
      <c r="F70" s="10"/>
    </row>
    <row r="71" customFormat="false" ht="16.5" hidden="false" customHeight="false" outlineLevel="0" collapsed="false">
      <c r="A71" s="6" t="s">
        <v>18</v>
      </c>
      <c r="B71" s="1" t="n">
        <v>8.8</v>
      </c>
      <c r="C71" s="2" t="n">
        <v>45142</v>
      </c>
      <c r="D71" s="2" t="n">
        <v>45146</v>
      </c>
      <c r="E71" s="0" t="str">
        <f aca="false">IF(D71&lt;&gt;"","Pago","Em Aberto")</f>
        <v>Pago</v>
      </c>
      <c r="F71" s="7" t="n">
        <f aca="false">IF(B71&lt;&gt;"",B71/$B$52,"")</f>
        <v>0.00472186599558935</v>
      </c>
    </row>
    <row r="72" customFormat="false" ht="16.5" hidden="false" customHeight="false" outlineLevel="0" collapsed="false">
      <c r="A72" s="6" t="s">
        <v>22</v>
      </c>
      <c r="B72" s="1" t="n">
        <v>300</v>
      </c>
      <c r="C72" s="2" t="n">
        <v>45118</v>
      </c>
      <c r="D72" s="2" t="n">
        <v>45118</v>
      </c>
      <c r="E72" s="0" t="str">
        <f aca="false">IF(D72&lt;&gt;"","Pago","Em Aberto")</f>
        <v>Pago</v>
      </c>
      <c r="F72" s="7" t="n">
        <f aca="false">IF(B72&lt;&gt;"",B72/$B$52,"")</f>
        <v>0.160972704395091</v>
      </c>
    </row>
    <row r="73" customFormat="false" ht="16.5" hidden="false" customHeight="false" outlineLevel="0" collapsed="false">
      <c r="A73" s="6" t="s">
        <v>21</v>
      </c>
      <c r="B73" s="1" t="n">
        <v>300</v>
      </c>
      <c r="C73" s="2" t="n">
        <v>45117</v>
      </c>
      <c r="D73" s="2" t="n">
        <v>45117</v>
      </c>
      <c r="E73" s="0" t="str">
        <f aca="false">IF(D73&lt;&gt;"","Pago","Em Aberto")</f>
        <v>Pago</v>
      </c>
      <c r="F73" s="7" t="n">
        <f aca="false">IF(B73&lt;&gt;"",B73/$B$52,"")</f>
        <v>0.160972704395091</v>
      </c>
    </row>
    <row r="74" customFormat="false" ht="16.5" hidden="false" customHeight="false" outlineLevel="0" collapsed="false">
      <c r="A74" s="6" t="s">
        <v>38</v>
      </c>
      <c r="B74" s="1" t="n">
        <v>130</v>
      </c>
      <c r="C74" s="2" t="n">
        <v>45122</v>
      </c>
      <c r="D74" s="2" t="n">
        <v>45121</v>
      </c>
      <c r="E74" s="0" t="str">
        <f aca="false">IF(D74&lt;&gt;"","Pago","Em Aberto")</f>
        <v>Pago</v>
      </c>
      <c r="F74" s="7" t="n">
        <f aca="false">IF(B74&lt;&gt;"",B74/$B$52,"")</f>
        <v>0.0697548385712063</v>
      </c>
    </row>
    <row r="75" customFormat="false" ht="16.5" hidden="false" customHeight="false" outlineLevel="0" collapsed="false">
      <c r="A75" s="6" t="s">
        <v>39</v>
      </c>
      <c r="B75" s="1" t="n">
        <v>116.06</v>
      </c>
      <c r="C75" s="2" t="n">
        <v>45132</v>
      </c>
      <c r="D75" s="2" t="n">
        <v>45127</v>
      </c>
      <c r="E75" s="0" t="str">
        <f aca="false">IF(D75&lt;&gt;"","Pago","Em Aberto")</f>
        <v>Pago</v>
      </c>
      <c r="F75" s="7" t="n">
        <f aca="false">IF(B75&lt;&gt;"",B75/$B$52,"")</f>
        <v>0.0622749735736477</v>
      </c>
    </row>
    <row r="76" customFormat="false" ht="16.5" hidden="false" customHeight="false" outlineLevel="0" collapsed="false">
      <c r="A76" s="6" t="s">
        <v>40</v>
      </c>
      <c r="B76" s="1" t="n">
        <v>54.49</v>
      </c>
      <c r="C76" s="2" t="n">
        <v>45117</v>
      </c>
      <c r="D76" s="2" t="n">
        <v>45117</v>
      </c>
      <c r="E76" s="0" t="str">
        <f aca="false">IF(D76&lt;&gt;"","Pago","Em Aberto")</f>
        <v>Pago</v>
      </c>
      <c r="F76" s="7" t="n">
        <f aca="false">IF(B76&lt;&gt;"",B76/$B$52,"")</f>
        <v>0.0292380088749618</v>
      </c>
    </row>
    <row r="77" customFormat="false" ht="16.5" hidden="false" customHeight="false" outlineLevel="0" collapsed="false">
      <c r="A77" s="6" t="s">
        <v>17</v>
      </c>
      <c r="B77" s="1" t="n">
        <v>30.62</v>
      </c>
      <c r="C77" s="2" t="n">
        <v>45133</v>
      </c>
      <c r="D77" s="2" t="n">
        <v>45131</v>
      </c>
      <c r="E77" s="0" t="str">
        <f aca="false">IF(D77&lt;&gt;"","Pago","Em Aberto")</f>
        <v>Pago</v>
      </c>
      <c r="F77" s="7" t="n">
        <f aca="false">IF(B77&lt;&gt;"",B77/$B$52,"")</f>
        <v>0.0164299473619257</v>
      </c>
    </row>
    <row r="78" customFormat="false" ht="16.5" hidden="false" customHeight="false" outlineLevel="0" collapsed="false">
      <c r="A78" s="6" t="s">
        <v>20</v>
      </c>
      <c r="B78" s="1" t="n">
        <v>43.78</v>
      </c>
      <c r="C78" s="2" t="n">
        <v>45113</v>
      </c>
      <c r="D78" s="2" t="n">
        <v>45112</v>
      </c>
      <c r="E78" s="0" t="str">
        <f aca="false">IF(D78&lt;&gt;"","Pago","Em Aberto")</f>
        <v>Pago</v>
      </c>
      <c r="F78" s="7" t="n">
        <f aca="false">IF(B78&lt;&gt;"",B78/$B$52,"")</f>
        <v>0.023491283328057</v>
      </c>
    </row>
    <row r="79" customFormat="false" ht="16.5" hidden="false" customHeight="false" outlineLevel="0" collapsed="false">
      <c r="A79" s="6" t="s">
        <v>13</v>
      </c>
      <c r="B79" s="1" t="n">
        <v>72</v>
      </c>
      <c r="C79" s="2" t="n">
        <v>45127</v>
      </c>
      <c r="D79" s="2" t="n">
        <v>45126</v>
      </c>
      <c r="E79" s="0" t="str">
        <f aca="false">IF(D79&lt;&gt;"","Pago","Em Aberto")</f>
        <v>Pago</v>
      </c>
      <c r="F79" s="7" t="n">
        <f aca="false">IF(B79&lt;&gt;"",B79/$B$52,"")</f>
        <v>0.0386334490548219</v>
      </c>
    </row>
    <row r="80" customFormat="false" ht="16.5" hidden="false" customHeight="false" outlineLevel="0" collapsed="false">
      <c r="A80" s="6" t="s">
        <v>6</v>
      </c>
      <c r="B80" s="1" t="n">
        <v>226.92</v>
      </c>
      <c r="C80" s="2" t="n">
        <v>45132</v>
      </c>
      <c r="D80" s="2" t="n">
        <v>45130</v>
      </c>
      <c r="E80" s="0" t="str">
        <f aca="false">IF(D80&lt;&gt;"","Pago","Em Aberto")</f>
        <v>Pago</v>
      </c>
      <c r="F80" s="7" t="n">
        <f aca="false">IF(B80&lt;&gt;"",B80/$B$52,"")</f>
        <v>0.121759753604447</v>
      </c>
    </row>
    <row r="81" customFormat="false" ht="16.5" hidden="false" customHeight="false" outlineLevel="0" collapsed="false">
      <c r="A81" s="6" t="s">
        <v>10</v>
      </c>
      <c r="B81" s="1" t="n">
        <v>0</v>
      </c>
      <c r="C81" s="2" t="n">
        <v>45132</v>
      </c>
      <c r="D81" s="2" t="n">
        <v>45129</v>
      </c>
      <c r="E81" s="0" t="str">
        <f aca="false">IF(D81&lt;&gt;"","Pago","Em Aberto")</f>
        <v>Pago</v>
      </c>
      <c r="F81" s="7" t="n">
        <f aca="false">IF(B81&lt;&gt;"",B81/$B$52,"")</f>
        <v>0</v>
      </c>
    </row>
    <row r="82" customFormat="false" ht="16.5" hidden="false" customHeight="false" outlineLevel="0" collapsed="false">
      <c r="A82" s="6" t="s">
        <v>5</v>
      </c>
      <c r="B82" s="1" t="n">
        <v>96.98</v>
      </c>
      <c r="C82" s="2" t="n">
        <v>45132</v>
      </c>
      <c r="D82" s="2" t="n">
        <v>45129</v>
      </c>
      <c r="E82" s="0" t="str">
        <f aca="false">IF(D82&lt;&gt;"","Pago","Em Aberto")</f>
        <v>Pago</v>
      </c>
      <c r="F82" s="7" t="n">
        <f aca="false">IF(B82&lt;&gt;"",B82/$B$52,"")</f>
        <v>0.0520371095741199</v>
      </c>
    </row>
    <row r="83" customFormat="false" ht="16.5" hidden="false" customHeight="false" outlineLevel="0" collapsed="false">
      <c r="A83" s="6" t="s">
        <v>41</v>
      </c>
      <c r="B83" s="1" t="n">
        <v>184.08</v>
      </c>
      <c r="C83" s="2" t="n">
        <v>45132</v>
      </c>
      <c r="D83" s="2" t="n">
        <v>45123</v>
      </c>
      <c r="E83" s="0" t="str">
        <f aca="false">IF(D83&lt;&gt;"","Pago","Em Aberto")</f>
        <v>Pago</v>
      </c>
      <c r="F83" s="7" t="n">
        <f aca="false">IF(B83&lt;&gt;"",B83/$B$52,"")</f>
        <v>0.0987728514168281</v>
      </c>
    </row>
    <row r="84" customFormat="false" ht="16.5" hidden="false" customHeight="false" outlineLevel="0" collapsed="false">
      <c r="A84" s="6" t="s">
        <v>42</v>
      </c>
      <c r="B84" s="1" t="n">
        <v>161</v>
      </c>
      <c r="C84" s="2" t="n">
        <v>45137</v>
      </c>
      <c r="D84" s="2" t="n">
        <v>45132</v>
      </c>
      <c r="E84" s="0" t="str">
        <f aca="false">IF(D84&lt;&gt;"","Pago","Em Aberto")</f>
        <v>Pago</v>
      </c>
      <c r="F84" s="7" t="n">
        <f aca="false">IF(B84&lt;&gt;"",B84/$B$52,"")</f>
        <v>0.0863886846920324</v>
      </c>
    </row>
    <row r="85" customFormat="false" ht="15" hidden="false" customHeight="false" outlineLevel="0" collapsed="false">
      <c r="B85" s="4" t="n">
        <f aca="false">SUM(B71:B84)</f>
        <v>1724.73</v>
      </c>
      <c r="D85" s="5" t="n">
        <f aca="false">SUMIFS(B71:B84,D71:D84,"")</f>
        <v>0</v>
      </c>
    </row>
    <row r="86" customFormat="false" ht="18.75" hidden="false" customHeight="false" outlineLevel="0" collapsed="false">
      <c r="A86" s="10" t="s">
        <v>43</v>
      </c>
      <c r="B86" s="10"/>
      <c r="C86" s="10"/>
      <c r="D86" s="10"/>
      <c r="E86" s="10"/>
      <c r="F86" s="10"/>
    </row>
    <row r="87" customFormat="false" ht="16.5" hidden="false" customHeight="false" outlineLevel="0" collapsed="false">
      <c r="A87" s="6" t="s">
        <v>18</v>
      </c>
      <c r="B87" s="1" t="n">
        <v>8.8</v>
      </c>
      <c r="C87" s="2" t="n">
        <v>45174</v>
      </c>
      <c r="D87" s="2" t="n">
        <v>45166</v>
      </c>
      <c r="E87" s="0" t="str">
        <f aca="false">IF(D87&lt;&gt;"","Pago","Em Aberto")</f>
        <v>Pago</v>
      </c>
      <c r="F87" s="7" t="n">
        <f aca="false">IF(B87&lt;&gt;"",B87/$B$52,"")</f>
        <v>0.00472186599558935</v>
      </c>
    </row>
    <row r="88" customFormat="false" ht="16.5" hidden="false" customHeight="false" outlineLevel="0" collapsed="false">
      <c r="A88" s="6" t="s">
        <v>22</v>
      </c>
      <c r="B88" s="1" t="n">
        <v>300</v>
      </c>
      <c r="C88" s="2" t="n">
        <v>45149</v>
      </c>
      <c r="D88" s="2" t="n">
        <v>45150</v>
      </c>
      <c r="E88" s="0" t="str">
        <f aca="false">IF(D88&lt;&gt;"","Pago","Em Aberto")</f>
        <v>Pago</v>
      </c>
      <c r="F88" s="7" t="n">
        <f aca="false">IF(B88&lt;&gt;"",B88/$B$52,"")</f>
        <v>0.160972704395091</v>
      </c>
    </row>
    <row r="89" customFormat="false" ht="16.5" hidden="false" customHeight="false" outlineLevel="0" collapsed="false">
      <c r="A89" s="6" t="s">
        <v>21</v>
      </c>
      <c r="B89" s="1" t="n">
        <v>300</v>
      </c>
      <c r="C89" s="2" t="n">
        <v>45148</v>
      </c>
      <c r="D89" s="2" t="n">
        <v>45152</v>
      </c>
      <c r="E89" s="0" t="str">
        <f aca="false">IF(D89&lt;&gt;"","Pago","Em Aberto")</f>
        <v>Pago</v>
      </c>
      <c r="F89" s="7" t="n">
        <f aca="false">IF(B89&lt;&gt;"",B89/$B$52,"")</f>
        <v>0.160972704395091</v>
      </c>
    </row>
    <row r="90" customFormat="false" ht="16.5" hidden="false" customHeight="false" outlineLevel="0" collapsed="false">
      <c r="A90" s="6" t="s">
        <v>44</v>
      </c>
      <c r="B90" s="1" t="n">
        <v>130</v>
      </c>
      <c r="C90" s="2" t="n">
        <v>45153</v>
      </c>
      <c r="D90" s="2" t="n">
        <v>45152</v>
      </c>
      <c r="E90" s="0" t="str">
        <f aca="false">IF(D90&lt;&gt;"","Pago","Em Aberto")</f>
        <v>Pago</v>
      </c>
      <c r="F90" s="7" t="n">
        <f aca="false">IF(B90&lt;&gt;"",B90/$B$52,"")</f>
        <v>0.0697548385712063</v>
      </c>
    </row>
    <row r="91" customFormat="false" ht="16.5" hidden="false" customHeight="false" outlineLevel="0" collapsed="false">
      <c r="A91" s="6" t="s">
        <v>45</v>
      </c>
      <c r="B91" s="1" t="n">
        <v>116.08</v>
      </c>
      <c r="C91" s="2" t="n">
        <v>45163</v>
      </c>
      <c r="D91" s="2" t="n">
        <v>45162</v>
      </c>
      <c r="E91" s="0" t="str">
        <f aca="false">IF(D91&lt;&gt;"","Pago","Em Aberto")</f>
        <v>Pago</v>
      </c>
      <c r="F91" s="7" t="n">
        <f aca="false">IF(B91&lt;&gt;"",B91/$B$52,"")</f>
        <v>0.062285705087274</v>
      </c>
    </row>
    <row r="92" customFormat="false" ht="16.5" hidden="false" customHeight="false" outlineLevel="0" collapsed="false">
      <c r="A92" s="6" t="s">
        <v>46</v>
      </c>
      <c r="B92" s="1" t="n">
        <v>54.49</v>
      </c>
      <c r="C92" s="2" t="n">
        <v>45150</v>
      </c>
      <c r="D92" s="2" t="n">
        <v>45149</v>
      </c>
      <c r="E92" s="0" t="str">
        <f aca="false">IF(D92&lt;&gt;"","Pago","Em Aberto")</f>
        <v>Pago</v>
      </c>
      <c r="F92" s="7" t="n">
        <f aca="false">IF(B92&lt;&gt;"",B92/$B$52,"")</f>
        <v>0.0292380088749618</v>
      </c>
    </row>
    <row r="93" customFormat="false" ht="16.5" hidden="false" customHeight="false" outlineLevel="0" collapsed="false">
      <c r="A93" s="6" t="s">
        <v>17</v>
      </c>
      <c r="B93" s="1" t="n">
        <v>30.62</v>
      </c>
      <c r="C93" s="2" t="n">
        <v>45161</v>
      </c>
      <c r="D93" s="2" t="n">
        <v>45160</v>
      </c>
      <c r="E93" s="0" t="str">
        <f aca="false">IF(D93&lt;&gt;"","Pago","Em Aberto")</f>
        <v>Pago</v>
      </c>
      <c r="F93" s="7" t="n">
        <f aca="false">IF(B93&lt;&gt;"",B93/$B$52,"")</f>
        <v>0.0164299473619257</v>
      </c>
    </row>
    <row r="94" customFormat="false" ht="16.5" hidden="false" customHeight="false" outlineLevel="0" collapsed="false">
      <c r="A94" s="6" t="s">
        <v>20</v>
      </c>
      <c r="B94" s="1" t="n">
        <v>43.78</v>
      </c>
      <c r="C94" s="2" t="n">
        <v>45144</v>
      </c>
      <c r="D94" s="2" t="n">
        <v>45142</v>
      </c>
      <c r="E94" s="0" t="str">
        <f aca="false">IF(D94&lt;&gt;"","Pago","Em Aberto")</f>
        <v>Pago</v>
      </c>
      <c r="F94" s="7" t="n">
        <f aca="false">IF(B94&lt;&gt;"",B94/$B$52,"")</f>
        <v>0.023491283328057</v>
      </c>
    </row>
    <row r="95" customFormat="false" ht="16.5" hidden="false" customHeight="false" outlineLevel="0" collapsed="false">
      <c r="A95" s="6" t="s">
        <v>13</v>
      </c>
      <c r="B95" s="1" t="n">
        <v>72</v>
      </c>
      <c r="C95" s="2" t="n">
        <v>45158</v>
      </c>
      <c r="D95" s="2" t="n">
        <v>45156</v>
      </c>
      <c r="E95" s="0" t="str">
        <f aca="false">IF(D95&lt;&gt;"","Pago","Em Aberto")</f>
        <v>Pago</v>
      </c>
      <c r="F95" s="7" t="n">
        <f aca="false">IF(B95&lt;&gt;"",B95/$B$52,"")</f>
        <v>0.0386334490548219</v>
      </c>
    </row>
    <row r="96" customFormat="false" ht="16.5" hidden="false" customHeight="false" outlineLevel="0" collapsed="false">
      <c r="A96" s="6" t="s">
        <v>6</v>
      </c>
      <c r="B96" s="1" t="n">
        <v>149.68</v>
      </c>
      <c r="C96" s="2" t="n">
        <v>45163</v>
      </c>
      <c r="D96" s="2" t="n">
        <v>45161</v>
      </c>
      <c r="E96" s="0" t="str">
        <f aca="false">IF(D96&lt;&gt;"","Pago","Em Aberto")</f>
        <v>Pago</v>
      </c>
      <c r="F96" s="7" t="n">
        <f aca="false">IF(B96&lt;&gt;"",B96/$B$52,"")</f>
        <v>0.0803146479795243</v>
      </c>
    </row>
    <row r="97" customFormat="false" ht="16.5" hidden="false" customHeight="false" outlineLevel="0" collapsed="false">
      <c r="A97" s="6" t="s">
        <v>10</v>
      </c>
      <c r="B97" s="1" t="n">
        <v>0</v>
      </c>
      <c r="C97" s="2" t="n">
        <v>45163</v>
      </c>
      <c r="D97" s="2" t="n">
        <v>45162</v>
      </c>
      <c r="E97" s="0" t="str">
        <f aca="false">IF(D97&lt;&gt;"","Pago","Em Aberto")</f>
        <v>Pago</v>
      </c>
      <c r="F97" s="7" t="n">
        <f aca="false">IF(B97&lt;&gt;"",B97/$B$52,"")</f>
        <v>0</v>
      </c>
    </row>
    <row r="98" customFormat="false" ht="16.5" hidden="false" customHeight="false" outlineLevel="0" collapsed="false">
      <c r="A98" s="6" t="s">
        <v>5</v>
      </c>
      <c r="B98" s="1" t="n">
        <v>96.98</v>
      </c>
      <c r="C98" s="2" t="n">
        <v>45163</v>
      </c>
      <c r="D98" s="2" t="n">
        <v>45157</v>
      </c>
      <c r="E98" s="0" t="str">
        <f aca="false">IF(D98&lt;&gt;"","Pago","Em Aberto")</f>
        <v>Pago</v>
      </c>
      <c r="F98" s="7" t="n">
        <f aca="false">IF(B98&lt;&gt;"",B98/$B$52,"")</f>
        <v>0.0520371095741199</v>
      </c>
    </row>
    <row r="99" customFormat="false" ht="16.5" hidden="false" customHeight="false" outlineLevel="0" collapsed="false">
      <c r="A99" s="6" t="s">
        <v>47</v>
      </c>
      <c r="B99" s="1" t="n">
        <v>184.08</v>
      </c>
      <c r="C99" s="2" t="n">
        <v>45163</v>
      </c>
      <c r="D99" s="2" t="n">
        <v>45157</v>
      </c>
      <c r="E99" s="0" t="str">
        <f aca="false">IF(D99&lt;&gt;"","Pago","Em Aberto")</f>
        <v>Pago</v>
      </c>
      <c r="F99" s="7" t="n">
        <f aca="false">IF(B99&lt;&gt;"",B99/$B$52,"")</f>
        <v>0.0987728514168281</v>
      </c>
    </row>
    <row r="100" customFormat="false" ht="16.5" hidden="false" customHeight="false" outlineLevel="0" collapsed="false">
      <c r="A100" s="6" t="s">
        <v>48</v>
      </c>
      <c r="B100" s="1" t="n">
        <v>161</v>
      </c>
      <c r="C100" s="2" t="n">
        <v>45168</v>
      </c>
      <c r="D100" s="2" t="n">
        <v>45166</v>
      </c>
      <c r="E100" s="0" t="str">
        <f aca="false">IF(D100&lt;&gt;"","Pago","Em Aberto")</f>
        <v>Pago</v>
      </c>
      <c r="F100" s="7" t="n">
        <f aca="false">IF(B100&lt;&gt;"",B100/$B$52,"")</f>
        <v>0.0863886846920324</v>
      </c>
    </row>
    <row r="101" customFormat="false" ht="15" hidden="false" customHeight="false" outlineLevel="0" collapsed="false">
      <c r="B101" s="4" t="n">
        <f aca="false">SUM(B87:B100)</f>
        <v>1647.51</v>
      </c>
      <c r="D101" s="5" t="n">
        <f aca="false">SUMIFS(B87:B100,D87:D100,"")</f>
        <v>0</v>
      </c>
    </row>
    <row r="102" customFormat="false" ht="18.75" hidden="false" customHeight="false" outlineLevel="0" collapsed="false">
      <c r="A102" s="10" t="s">
        <v>49</v>
      </c>
      <c r="B102" s="10"/>
      <c r="C102" s="10"/>
      <c r="D102" s="10"/>
      <c r="E102" s="10"/>
      <c r="F102" s="10"/>
    </row>
    <row r="103" customFormat="false" ht="16.5" hidden="false" customHeight="false" outlineLevel="0" collapsed="false">
      <c r="A103" s="6" t="s">
        <v>18</v>
      </c>
      <c r="B103" s="1" t="n">
        <v>8.8</v>
      </c>
      <c r="C103" s="2" t="n">
        <v>45201</v>
      </c>
      <c r="D103" s="2" t="n">
        <v>45201</v>
      </c>
      <c r="E103" s="0" t="str">
        <f aca="false">IF(D103&lt;&gt;"","Pago","Em Aberto")</f>
        <v>Pago</v>
      </c>
      <c r="F103" s="7" t="n">
        <f aca="false">IF(B103&lt;&gt;"",B103/$B$52,"")</f>
        <v>0.00472186599558935</v>
      </c>
    </row>
    <row r="104" customFormat="false" ht="16.5" hidden="false" customHeight="false" outlineLevel="0" collapsed="false">
      <c r="A104" s="6" t="s">
        <v>22</v>
      </c>
      <c r="B104" s="1" t="n">
        <v>300</v>
      </c>
      <c r="C104" s="2" t="n">
        <v>45180</v>
      </c>
      <c r="D104" s="2" t="n">
        <v>45181</v>
      </c>
      <c r="E104" s="0" t="str">
        <f aca="false">IF(D104&lt;&gt;"","Pago","Em Aberto")</f>
        <v>Pago</v>
      </c>
      <c r="F104" s="7" t="n">
        <f aca="false">IF(B104&lt;&gt;"",B104/$B$52,"")</f>
        <v>0.160972704395091</v>
      </c>
    </row>
    <row r="105" customFormat="false" ht="16.5" hidden="false" customHeight="false" outlineLevel="0" collapsed="false">
      <c r="A105" s="6" t="s">
        <v>21</v>
      </c>
      <c r="B105" s="1" t="n">
        <v>300</v>
      </c>
      <c r="C105" s="2" t="n">
        <v>45179</v>
      </c>
      <c r="D105" s="2" t="n">
        <v>45180</v>
      </c>
      <c r="E105" s="0" t="str">
        <f aca="false">IF(D105&lt;&gt;"","Pago","Em Aberto")</f>
        <v>Pago</v>
      </c>
      <c r="F105" s="7" t="n">
        <f aca="false">IF(B105&lt;&gt;"",B105/$B$52,"")</f>
        <v>0.160972704395091</v>
      </c>
    </row>
    <row r="106" customFormat="false" ht="16.5" hidden="false" customHeight="false" outlineLevel="0" collapsed="false">
      <c r="A106" s="6" t="s">
        <v>50</v>
      </c>
      <c r="B106" s="1" t="n">
        <v>130</v>
      </c>
      <c r="C106" s="2" t="n">
        <v>45184</v>
      </c>
      <c r="D106" s="2" t="n">
        <v>45183</v>
      </c>
      <c r="E106" s="0" t="str">
        <f aca="false">IF(D106&lt;&gt;"","Pago","Em Aberto")</f>
        <v>Pago</v>
      </c>
      <c r="F106" s="7" t="n">
        <f aca="false">IF(B106&lt;&gt;"",B106/$B$52,"")</f>
        <v>0.0697548385712063</v>
      </c>
    </row>
    <row r="107" customFormat="false" ht="16.5" hidden="false" customHeight="false" outlineLevel="0" collapsed="false">
      <c r="A107" s="6" t="s">
        <v>51</v>
      </c>
      <c r="B107" s="1" t="n">
        <v>116.55</v>
      </c>
      <c r="C107" s="2" t="n">
        <v>45194</v>
      </c>
      <c r="D107" s="2" t="n">
        <v>45194</v>
      </c>
      <c r="E107" s="0" t="str">
        <f aca="false">IF(D107&lt;&gt;"","Pago","Em Aberto")</f>
        <v>Pago</v>
      </c>
      <c r="F107" s="7" t="n">
        <f aca="false">IF(B107&lt;&gt;"",B107/$B$52,"")</f>
        <v>0.062537895657493</v>
      </c>
    </row>
    <row r="108" customFormat="false" ht="16.5" hidden="false" customHeight="false" outlineLevel="0" collapsed="false">
      <c r="A108" s="6" t="s">
        <v>52</v>
      </c>
      <c r="B108" s="1" t="n">
        <v>38.71</v>
      </c>
      <c r="C108" s="2" t="n">
        <v>45189</v>
      </c>
      <c r="D108" s="2" t="n">
        <v>45187</v>
      </c>
      <c r="E108" s="0" t="str">
        <f aca="false">IF(D108&lt;&gt;"","Pago","Em Aberto")</f>
        <v>Pago</v>
      </c>
      <c r="F108" s="7" t="n">
        <f aca="false">IF(B108&lt;&gt;"",B108/$B$52,"")</f>
        <v>0.02077084462378</v>
      </c>
    </row>
    <row r="109" customFormat="false" ht="16.5" hidden="false" customHeight="false" outlineLevel="0" collapsed="false">
      <c r="A109" s="6" t="s">
        <v>17</v>
      </c>
      <c r="B109" s="1" t="n">
        <v>30.62</v>
      </c>
      <c r="C109" s="2" t="n">
        <v>45194</v>
      </c>
      <c r="D109" s="2" t="n">
        <v>45194</v>
      </c>
      <c r="E109" s="0" t="str">
        <f aca="false">IF(D109&lt;&gt;"","Pago","Em Aberto")</f>
        <v>Pago</v>
      </c>
      <c r="F109" s="7" t="n">
        <f aca="false">IF(B109&lt;&gt;"",B109/$B$52,"")</f>
        <v>0.0164299473619257</v>
      </c>
    </row>
    <row r="110" customFormat="false" ht="16.5" hidden="false" customHeight="false" outlineLevel="0" collapsed="false">
      <c r="A110" s="6" t="s">
        <v>20</v>
      </c>
      <c r="B110" s="1" t="n">
        <v>69.87</v>
      </c>
      <c r="C110" s="2" t="n">
        <v>45175</v>
      </c>
      <c r="D110" s="2" t="n">
        <v>45175</v>
      </c>
      <c r="E110" s="0" t="str">
        <f aca="false">IF(D110&lt;&gt;"","Pago","Em Aberto")</f>
        <v>Pago</v>
      </c>
      <c r="F110" s="7" t="n">
        <f aca="false">IF(B110&lt;&gt;"",B110/$B$52,"")</f>
        <v>0.0374905428536168</v>
      </c>
    </row>
    <row r="111" customFormat="false" ht="16.5" hidden="false" customHeight="false" outlineLevel="0" collapsed="false">
      <c r="A111" s="6" t="s">
        <v>13</v>
      </c>
      <c r="B111" s="1" t="n">
        <v>72</v>
      </c>
      <c r="C111" s="2" t="n">
        <v>45189</v>
      </c>
      <c r="D111" s="2" t="n">
        <v>45187</v>
      </c>
      <c r="E111" s="0" t="str">
        <f aca="false">IF(D111&lt;&gt;"","Pago","Em Aberto")</f>
        <v>Pago</v>
      </c>
      <c r="F111" s="7" t="n">
        <f aca="false">IF(B111&lt;&gt;"",B111/$B$52,"")</f>
        <v>0.0386334490548219</v>
      </c>
    </row>
    <row r="112" customFormat="false" ht="16.5" hidden="false" customHeight="false" outlineLevel="0" collapsed="false">
      <c r="A112" s="6" t="s">
        <v>6</v>
      </c>
      <c r="B112" s="1" t="n">
        <v>167.65</v>
      </c>
      <c r="C112" s="2" t="n">
        <v>45195</v>
      </c>
      <c r="D112" s="2" t="n">
        <v>45194</v>
      </c>
      <c r="E112" s="0" t="str">
        <f aca="false">IF(D112&lt;&gt;"","Pago","Em Aberto")</f>
        <v>Pago</v>
      </c>
      <c r="F112" s="7" t="n">
        <f aca="false">IF(B112&lt;&gt;"",B112/$B$52,"")</f>
        <v>0.0899569129727903</v>
      </c>
    </row>
    <row r="113" customFormat="false" ht="16.5" hidden="false" customHeight="false" outlineLevel="0" collapsed="false">
      <c r="A113" s="6" t="s">
        <v>10</v>
      </c>
      <c r="B113" s="1" t="n">
        <v>0</v>
      </c>
      <c r="C113" s="2" t="n">
        <v>45194</v>
      </c>
      <c r="D113" s="2" t="n">
        <v>45194</v>
      </c>
      <c r="E113" s="0" t="str">
        <f aca="false">IF(D113&lt;&gt;"","Pago","Em Aberto")</f>
        <v>Pago</v>
      </c>
      <c r="F113" s="7" t="n">
        <f aca="false">IF(B113&lt;&gt;"",B113/$B$52,"")</f>
        <v>0</v>
      </c>
    </row>
    <row r="114" customFormat="false" ht="16.5" hidden="false" customHeight="false" outlineLevel="0" collapsed="false">
      <c r="A114" s="6" t="s">
        <v>5</v>
      </c>
      <c r="B114" s="1" t="n">
        <v>226.22</v>
      </c>
      <c r="C114" s="2" t="n">
        <v>45194</v>
      </c>
      <c r="D114" s="2" t="n">
        <v>45189</v>
      </c>
      <c r="E114" s="0" t="str">
        <f aca="false">IF(D114&lt;&gt;"","Pago","Em Aberto")</f>
        <v>Pago</v>
      </c>
      <c r="F114" s="7" t="n">
        <f aca="false">IF(B114&lt;&gt;"",B114/$B$52,"")</f>
        <v>0.121384150627525</v>
      </c>
    </row>
    <row r="115" customFormat="false" ht="16.5" hidden="false" customHeight="false" outlineLevel="0" collapsed="false">
      <c r="A115" s="6" t="s">
        <v>11</v>
      </c>
      <c r="B115" s="1" t="n">
        <v>184.9</v>
      </c>
      <c r="C115" s="2" t="n">
        <v>45194</v>
      </c>
      <c r="D115" s="2" t="n">
        <v>45194</v>
      </c>
      <c r="E115" s="0" t="str">
        <f aca="false">IF(D115&lt;&gt;"","Pago","Em Aberto")</f>
        <v>Pago</v>
      </c>
      <c r="F115" s="7" t="n">
        <f aca="false">IF(B115&lt;&gt;"",B115/$B$52,"")</f>
        <v>0.099212843475508</v>
      </c>
    </row>
    <row r="116" customFormat="false" ht="16.5" hidden="false" customHeight="false" outlineLevel="0" collapsed="false">
      <c r="A116" s="6" t="s">
        <v>53</v>
      </c>
      <c r="B116" s="1" t="n">
        <v>161.11</v>
      </c>
      <c r="C116" s="2" t="n">
        <v>45198</v>
      </c>
      <c r="D116" s="2" t="n">
        <v>45194</v>
      </c>
      <c r="E116" s="0" t="str">
        <f aca="false">IF(D116&lt;&gt;"","Pago","Em Aberto")</f>
        <v>Pago</v>
      </c>
      <c r="F116" s="7" t="n">
        <f aca="false">IF(B116&lt;&gt;"",B116/$B$52,"")</f>
        <v>0.0864477080169773</v>
      </c>
    </row>
    <row r="117" customFormat="false" ht="15" hidden="false" customHeight="false" outlineLevel="0" collapsed="false">
      <c r="B117" s="4" t="n">
        <f aca="false">SUM(B103:B116)</f>
        <v>1806.43</v>
      </c>
      <c r="D117" s="5" t="n">
        <f aca="false">SUMIFS(B103:B116,D103:D116,"")</f>
        <v>0</v>
      </c>
    </row>
    <row r="118" customFormat="false" ht="18.75" hidden="false" customHeight="false" outlineLevel="0" collapsed="false">
      <c r="A118" s="10" t="s">
        <v>54</v>
      </c>
      <c r="B118" s="10"/>
      <c r="C118" s="10"/>
      <c r="D118" s="10"/>
      <c r="E118" s="10"/>
      <c r="F118" s="10"/>
    </row>
    <row r="119" customFormat="false" ht="16.5" hidden="false" customHeight="false" outlineLevel="0" collapsed="false">
      <c r="A119" s="6" t="s">
        <v>20</v>
      </c>
      <c r="B119" s="1" t="n">
        <v>69.87</v>
      </c>
      <c r="C119" s="2" t="n">
        <v>45204</v>
      </c>
      <c r="D119" s="2" t="n">
        <v>45204</v>
      </c>
      <c r="E119" s="0" t="str">
        <f aca="false">IF(D119&lt;&gt;"","Pago","Em Aberto")</f>
        <v>Pago</v>
      </c>
      <c r="F119" s="7" t="n">
        <f aca="false">IF(B119&lt;&gt;"",B119/$B$52,"")</f>
        <v>0.0374905428536168</v>
      </c>
    </row>
    <row r="120" customFormat="false" ht="16.5" hidden="false" customHeight="false" outlineLevel="0" collapsed="false">
      <c r="A120" s="6" t="s">
        <v>21</v>
      </c>
      <c r="B120" s="1" t="n">
        <v>300</v>
      </c>
      <c r="C120" s="2" t="n">
        <v>45209</v>
      </c>
      <c r="D120" s="2" t="n">
        <v>45210</v>
      </c>
      <c r="E120" s="0" t="str">
        <f aca="false">IF(D120&lt;&gt;"","Pago","Em Aberto")</f>
        <v>Pago</v>
      </c>
      <c r="F120" s="7" t="n">
        <f aca="false">IF(B120&lt;&gt;"",B120/$B$52,"")</f>
        <v>0.160972704395091</v>
      </c>
    </row>
    <row r="121" customFormat="false" ht="16.5" hidden="false" customHeight="false" outlineLevel="0" collapsed="false">
      <c r="A121" s="6" t="s">
        <v>22</v>
      </c>
      <c r="B121" s="1" t="n">
        <v>300</v>
      </c>
      <c r="C121" s="2" t="n">
        <v>45210</v>
      </c>
      <c r="D121" s="2" t="n">
        <v>45212</v>
      </c>
      <c r="E121" s="0" t="str">
        <f aca="false">IF(D121&lt;&gt;"","Pago","Em Aberto")</f>
        <v>Pago</v>
      </c>
      <c r="F121" s="7" t="n">
        <f aca="false">IF(B121&lt;&gt;"",B121/$B$52,"")</f>
        <v>0.160972704395091</v>
      </c>
    </row>
    <row r="122" customFormat="false" ht="16.5" hidden="false" customHeight="false" outlineLevel="0" collapsed="false">
      <c r="A122" s="6" t="s">
        <v>31</v>
      </c>
      <c r="B122" s="1" t="n">
        <v>111.66</v>
      </c>
      <c r="C122" s="2" t="n">
        <v>45214</v>
      </c>
      <c r="D122" s="2" t="n">
        <v>45212</v>
      </c>
      <c r="E122" s="0" t="str">
        <f aca="false">IF(D122&lt;&gt;"","Pago","Em Aberto")</f>
        <v>Pago</v>
      </c>
      <c r="F122" s="7" t="n">
        <f aca="false">IF(B122&lt;&gt;"",B122/$B$52,"")</f>
        <v>0.059914040575853</v>
      </c>
    </row>
    <row r="123" customFormat="false" ht="16.5" hidden="false" customHeight="false" outlineLevel="0" collapsed="false">
      <c r="A123" s="6" t="s">
        <v>55</v>
      </c>
      <c r="B123" s="1" t="n">
        <v>49.99</v>
      </c>
      <c r="C123" s="2" t="n">
        <v>45219</v>
      </c>
      <c r="D123" s="2" t="n">
        <v>45216</v>
      </c>
      <c r="E123" s="0" t="str">
        <f aca="false">IF(D123&lt;&gt;"","Pago","Em Aberto")</f>
        <v>Pago</v>
      </c>
      <c r="F123" s="7" t="n">
        <f aca="false">IF(B123&lt;&gt;"",B123/$B$52,"")</f>
        <v>0.0268234183090354</v>
      </c>
    </row>
    <row r="124" customFormat="false" ht="16.5" hidden="false" customHeight="false" outlineLevel="0" collapsed="false">
      <c r="A124" s="6" t="s">
        <v>13</v>
      </c>
      <c r="B124" s="1" t="n">
        <v>72</v>
      </c>
      <c r="C124" s="2" t="n">
        <v>45219</v>
      </c>
      <c r="D124" s="2" t="n">
        <v>45218</v>
      </c>
      <c r="E124" s="0" t="str">
        <f aca="false">IF(D124&lt;&gt;"","Pago","Em Aberto")</f>
        <v>Pago</v>
      </c>
      <c r="F124" s="7" t="n">
        <f aca="false">IF(B124&lt;&gt;"",B124/$B$52,"")</f>
        <v>0.0386334490548219</v>
      </c>
    </row>
    <row r="125" customFormat="false" ht="16.5" hidden="false" customHeight="false" outlineLevel="0" collapsed="false">
      <c r="A125" s="6" t="s">
        <v>17</v>
      </c>
      <c r="B125" s="1" t="n">
        <v>30.62</v>
      </c>
      <c r="C125" s="2" t="n">
        <v>45223</v>
      </c>
      <c r="D125" s="2" t="n">
        <v>45222</v>
      </c>
      <c r="E125" s="0" t="str">
        <f aca="false">IF(D125&lt;&gt;"","Pago","Em Aberto")</f>
        <v>Pago</v>
      </c>
      <c r="F125" s="7" t="n">
        <f aca="false">IF(B125&lt;&gt;"",B125/$B$52,"")</f>
        <v>0.0164299473619257</v>
      </c>
    </row>
    <row r="126" customFormat="false" ht="16.5" hidden="false" customHeight="false" outlineLevel="0" collapsed="false">
      <c r="A126" s="6" t="s">
        <v>11</v>
      </c>
      <c r="B126" s="1" t="n">
        <v>185</v>
      </c>
      <c r="C126" s="2" t="n">
        <v>45224</v>
      </c>
      <c r="D126" s="2" t="n">
        <v>45222</v>
      </c>
      <c r="E126" s="0" t="str">
        <f aca="false">IF(D126&lt;&gt;"","Pago","Em Aberto")</f>
        <v>Pago</v>
      </c>
      <c r="F126" s="7" t="n">
        <f aca="false">IF(B126&lt;&gt;"",B126/$B$52,"")</f>
        <v>0.0992665010436397</v>
      </c>
    </row>
    <row r="127" customFormat="false" ht="16.5" hidden="false" customHeight="false" outlineLevel="0" collapsed="false">
      <c r="A127" s="6" t="s">
        <v>56</v>
      </c>
      <c r="B127" s="1" t="n">
        <v>116.08</v>
      </c>
      <c r="C127" s="2" t="n">
        <v>45224</v>
      </c>
      <c r="D127" s="2" t="n">
        <v>45223</v>
      </c>
      <c r="E127" s="0" t="str">
        <f aca="false">IF(D127&lt;&gt;"","Pago","Em Aberto")</f>
        <v>Pago</v>
      </c>
      <c r="F127" s="7" t="n">
        <f aca="false">IF(B127&lt;&gt;"",B127/$B$52,"")</f>
        <v>0.062285705087274</v>
      </c>
    </row>
    <row r="128" customFormat="false" ht="16.5" hidden="false" customHeight="false" outlineLevel="0" collapsed="false">
      <c r="A128" s="6" t="s">
        <v>6</v>
      </c>
      <c r="B128" s="1" t="n">
        <v>112.53</v>
      </c>
      <c r="C128" s="2" t="n">
        <v>45225</v>
      </c>
      <c r="D128" s="2" t="n">
        <v>45223</v>
      </c>
      <c r="E128" s="0" t="str">
        <f aca="false">IF(D128&lt;&gt;"","Pago","Em Aberto")</f>
        <v>Pago</v>
      </c>
      <c r="F128" s="7" t="n">
        <f aca="false">IF(B128&lt;&gt;"",B128/$B$52,"")</f>
        <v>0.0603808614185988</v>
      </c>
    </row>
    <row r="129" customFormat="false" ht="16.5" hidden="false" customHeight="false" outlineLevel="0" collapsed="false">
      <c r="A129" s="6"/>
      <c r="B129" s="1" t="n">
        <v>0</v>
      </c>
      <c r="C129" s="2" t="n">
        <v>45224</v>
      </c>
      <c r="D129" s="2" t="n">
        <v>45223</v>
      </c>
      <c r="E129" s="0" t="str">
        <f aca="false">IF(D129&lt;&gt;"","Pago","Em Aberto")</f>
        <v>Pago</v>
      </c>
      <c r="F129" s="7" t="n">
        <f aca="false">IF(B129&lt;&gt;"",B129/$B$52,"")</f>
        <v>0</v>
      </c>
    </row>
    <row r="130" customFormat="false" ht="16.5" hidden="false" customHeight="false" outlineLevel="0" collapsed="false">
      <c r="A130" s="6" t="s">
        <v>5</v>
      </c>
      <c r="B130" s="1" t="n">
        <v>212.76</v>
      </c>
      <c r="C130" s="2" t="n">
        <v>45225</v>
      </c>
      <c r="D130" s="2" t="n">
        <v>45223</v>
      </c>
      <c r="E130" s="0" t="str">
        <f aca="false">IF(D130&lt;&gt;"","Pago","Em Aberto")</f>
        <v>Pago</v>
      </c>
      <c r="F130" s="7" t="n">
        <f aca="false">IF(B130&lt;&gt;"",B130/$B$52,"")</f>
        <v>0.114161841956999</v>
      </c>
    </row>
    <row r="131" customFormat="false" ht="16.5" hidden="false" customHeight="false" outlineLevel="0" collapsed="false">
      <c r="A131" s="6" t="s">
        <v>57</v>
      </c>
      <c r="B131" s="1" t="n">
        <v>162.36</v>
      </c>
      <c r="C131" s="2" t="n">
        <v>45230</v>
      </c>
      <c r="D131" s="2" t="n">
        <v>45223</v>
      </c>
      <c r="E131" s="0" t="str">
        <f aca="false">IF(D131&lt;&gt;"","Pago","Em Aberto")</f>
        <v>Pago</v>
      </c>
      <c r="F131" s="7" t="n">
        <f aca="false">IF(B131&lt;&gt;"",B131/$B$52,"")</f>
        <v>0.0871184276186235</v>
      </c>
    </row>
    <row r="132" customFormat="false" ht="16.5" hidden="false" customHeight="false" outlineLevel="0" collapsed="false">
      <c r="A132" s="6" t="s">
        <v>18</v>
      </c>
      <c r="B132" s="1" t="n">
        <v>8.8</v>
      </c>
      <c r="C132" s="2" t="n">
        <v>45231</v>
      </c>
      <c r="D132" s="2" t="n">
        <v>45231</v>
      </c>
      <c r="E132" s="0" t="str">
        <f aca="false">IF(D132&lt;&gt;"","Pago","Em Aberto")</f>
        <v>Pago</v>
      </c>
      <c r="F132" s="7" t="n">
        <f aca="false">IF(B132&lt;&gt;"",B132/$B$52,"")</f>
        <v>0.00472186599558935</v>
      </c>
    </row>
    <row r="133" customFormat="false" ht="15" hidden="false" customHeight="false" outlineLevel="0" collapsed="false">
      <c r="B133" s="4" t="n">
        <f aca="false">SUM(B119:B132)</f>
        <v>1731.67</v>
      </c>
      <c r="D133" s="5" t="n">
        <f aca="false">SUMIFS(B119:B132,D119:D132,"")</f>
        <v>0</v>
      </c>
    </row>
    <row r="134" customFormat="false" ht="18.75" hidden="false" customHeight="false" outlineLevel="0" collapsed="false">
      <c r="A134" s="10" t="s">
        <v>58</v>
      </c>
      <c r="B134" s="10"/>
      <c r="C134" s="10"/>
      <c r="D134" s="10"/>
      <c r="E134" s="10"/>
      <c r="F134" s="10"/>
    </row>
    <row r="135" customFormat="false" ht="16.5" hidden="false" customHeight="false" outlineLevel="0" collapsed="false">
      <c r="A135" s="6" t="s">
        <v>20</v>
      </c>
      <c r="B135" s="1" t="n">
        <v>82.15</v>
      </c>
      <c r="C135" s="2" t="n">
        <v>45236</v>
      </c>
      <c r="D135" s="2" t="n">
        <v>45236</v>
      </c>
      <c r="E135" s="0" t="str">
        <f aca="false">IF(D135&lt;&gt;"","Pago","Em Aberto")</f>
        <v>Pago</v>
      </c>
      <c r="F135" s="7" t="n">
        <f aca="false">IF(B135&lt;&gt;"",B135/$B$52,"")</f>
        <v>0.0440796922201892</v>
      </c>
    </row>
    <row r="136" customFormat="false" ht="16.5" hidden="false" customHeight="false" outlineLevel="0" collapsed="false">
      <c r="A136" s="6" t="s">
        <v>21</v>
      </c>
      <c r="B136" s="1" t="n">
        <v>300</v>
      </c>
      <c r="C136" s="2" t="n">
        <v>45240</v>
      </c>
      <c r="D136" s="2" t="n">
        <v>45241</v>
      </c>
      <c r="E136" s="0" t="str">
        <f aca="false">IF(D136&lt;&gt;"","Pago","Em Aberto")</f>
        <v>Pago</v>
      </c>
      <c r="F136" s="7" t="n">
        <f aca="false">IF(B136&lt;&gt;"",B136/$B$52,"")</f>
        <v>0.160972704395091</v>
      </c>
    </row>
    <row r="137" customFormat="false" ht="16.5" hidden="false" customHeight="false" outlineLevel="0" collapsed="false">
      <c r="A137" s="6" t="s">
        <v>22</v>
      </c>
      <c r="B137" s="1" t="n">
        <v>300</v>
      </c>
      <c r="C137" s="2" t="n">
        <v>45241</v>
      </c>
      <c r="D137" s="2" t="n">
        <v>45241</v>
      </c>
      <c r="E137" s="0" t="str">
        <f aca="false">IF(D137&lt;&gt;"","Pago","Em Aberto")</f>
        <v>Pago</v>
      </c>
      <c r="F137" s="7" t="n">
        <f aca="false">IF(B137&lt;&gt;"",B137/$B$52,"")</f>
        <v>0.160972704395091</v>
      </c>
    </row>
    <row r="138" customFormat="false" ht="16.5" hidden="false" customHeight="false" outlineLevel="0" collapsed="false">
      <c r="A138" s="6" t="s">
        <v>31</v>
      </c>
      <c r="B138" s="1" t="n">
        <v>135.66</v>
      </c>
      <c r="C138" s="2" t="n">
        <v>45245</v>
      </c>
      <c r="D138" s="2" t="n">
        <v>45244</v>
      </c>
      <c r="E138" s="0" t="str">
        <f aca="false">IF(D138&lt;&gt;"","Pago","Em Aberto")</f>
        <v>Pago</v>
      </c>
      <c r="F138" s="7" t="n">
        <f aca="false">IF(B138&lt;&gt;"",B138/$B$52,"")</f>
        <v>0.0727918569274603</v>
      </c>
    </row>
    <row r="139" customFormat="false" ht="16.5" hidden="false" customHeight="false" outlineLevel="0" collapsed="false">
      <c r="A139" s="6" t="s">
        <v>13</v>
      </c>
      <c r="B139" s="1" t="n">
        <v>72</v>
      </c>
      <c r="C139" s="2" t="n">
        <v>45250</v>
      </c>
      <c r="D139" s="2" t="n">
        <v>45247</v>
      </c>
      <c r="E139" s="0" t="str">
        <f aca="false">IF(D139&lt;&gt;"","Pago","Em Aberto")</f>
        <v>Pago</v>
      </c>
      <c r="F139" s="7" t="n">
        <f aca="false">IF(B139&lt;&gt;"",B139/$B$52,"")</f>
        <v>0.0386334490548219</v>
      </c>
    </row>
    <row r="140" customFormat="false" ht="16.5" hidden="false" customHeight="false" outlineLevel="0" collapsed="false">
      <c r="A140" s="6" t="s">
        <v>55</v>
      </c>
      <c r="B140" s="1" t="n">
        <v>56</v>
      </c>
      <c r="C140" s="2" t="n">
        <v>45250</v>
      </c>
      <c r="D140" s="2" t="n">
        <v>45247</v>
      </c>
      <c r="E140" s="0" t="str">
        <f aca="false">IF(D140&lt;&gt;"","Pago","Em Aberto")</f>
        <v>Pago</v>
      </c>
      <c r="F140" s="7" t="n">
        <f aca="false">IF(B140&lt;&gt;"",B140/$B$52,"")</f>
        <v>0.0300482381537504</v>
      </c>
    </row>
    <row r="141" customFormat="false" ht="16.5" hidden="false" customHeight="false" outlineLevel="0" collapsed="false">
      <c r="A141" s="6" t="s">
        <v>17</v>
      </c>
      <c r="B141" s="1" t="n">
        <v>30.62</v>
      </c>
      <c r="C141" s="2" t="n">
        <v>45254</v>
      </c>
      <c r="D141" s="2" t="n">
        <v>45251</v>
      </c>
      <c r="E141" s="0" t="str">
        <f aca="false">IF(D141&lt;&gt;"","Pago","Em Aberto")</f>
        <v>Pago</v>
      </c>
      <c r="F141" s="7" t="n">
        <f aca="false">IF(B141&lt;&gt;"",B141/$B$52,"")</f>
        <v>0.0164299473619257</v>
      </c>
    </row>
    <row r="142" customFormat="false" ht="16.5" hidden="false" customHeight="false" outlineLevel="0" collapsed="false">
      <c r="A142" s="6" t="s">
        <v>59</v>
      </c>
      <c r="B142" s="1" t="n">
        <v>116.08</v>
      </c>
      <c r="C142" s="2" t="n">
        <v>45255</v>
      </c>
      <c r="D142" s="2" t="n">
        <v>45254</v>
      </c>
      <c r="E142" s="0" t="str">
        <f aca="false">IF(D142&lt;&gt;"","Pago","Em Aberto")</f>
        <v>Pago</v>
      </c>
      <c r="F142" s="7" t="n">
        <f aca="false">IF(B142&lt;&gt;"",B142/$B$52,"")</f>
        <v>0.062285705087274</v>
      </c>
    </row>
    <row r="143" customFormat="false" ht="16.5" hidden="false" customHeight="false" outlineLevel="0" collapsed="false">
      <c r="A143" s="6" t="s">
        <v>6</v>
      </c>
      <c r="B143" s="1" t="n">
        <v>0</v>
      </c>
      <c r="C143" s="2" t="n">
        <v>45255</v>
      </c>
      <c r="D143" s="2" t="n">
        <v>45254</v>
      </c>
      <c r="E143" s="0" t="str">
        <f aca="false">IF(D143&lt;&gt;"","Pago","Em Aberto")</f>
        <v>Pago</v>
      </c>
      <c r="F143" s="7" t="n">
        <f aca="false">IF(B143&lt;&gt;"",B143/$B$52,"")</f>
        <v>0</v>
      </c>
    </row>
    <row r="144" customFormat="false" ht="16.5" hidden="false" customHeight="false" outlineLevel="0" collapsed="false">
      <c r="A144" s="6" t="s">
        <v>11</v>
      </c>
      <c r="B144" s="1" t="n">
        <v>170</v>
      </c>
      <c r="C144" s="2" t="n">
        <v>45255</v>
      </c>
      <c r="D144" s="2" t="n">
        <v>45254</v>
      </c>
      <c r="E144" s="0" t="str">
        <f aca="false">IF(D144&lt;&gt;"","Pago","Em Aberto")</f>
        <v>Pago</v>
      </c>
      <c r="F144" s="7" t="n">
        <f aca="false">IF(B144&lt;&gt;"",B144/$B$52,"")</f>
        <v>0.0912178658238851</v>
      </c>
    </row>
    <row r="145" customFormat="false" ht="16.5" hidden="false" customHeight="false" outlineLevel="0" collapsed="false">
      <c r="A145" s="6"/>
      <c r="B145" s="1" t="n">
        <v>0</v>
      </c>
      <c r="C145" s="2" t="n">
        <v>45255</v>
      </c>
      <c r="D145" s="2" t="n">
        <v>45246</v>
      </c>
      <c r="E145" s="0" t="str">
        <f aca="false">IF(D145&lt;&gt;"","Pago","Em Aberto")</f>
        <v>Pago</v>
      </c>
      <c r="F145" s="7" t="n">
        <f aca="false">IF(B145&lt;&gt;"",B145/$B$52,"")</f>
        <v>0</v>
      </c>
    </row>
    <row r="146" customFormat="false" ht="16.5" hidden="false" customHeight="false" outlineLevel="0" collapsed="false">
      <c r="A146" s="6" t="s">
        <v>5</v>
      </c>
      <c r="B146" s="1" t="n">
        <v>226.11</v>
      </c>
      <c r="C146" s="2" t="n">
        <v>45257</v>
      </c>
      <c r="D146" s="2" t="n">
        <v>45254</v>
      </c>
      <c r="E146" s="0" t="str">
        <f aca="false">IF(D146&lt;&gt;"","Pago","Em Aberto")</f>
        <v>Pago</v>
      </c>
      <c r="F146" s="7" t="n">
        <f aca="false">IF(B146&lt;&gt;"",B146/$B$52,"")</f>
        <v>0.12132512730258</v>
      </c>
    </row>
    <row r="147" customFormat="false" ht="16.5" hidden="false" customHeight="false" outlineLevel="0" collapsed="false">
      <c r="A147" s="6" t="s">
        <v>60</v>
      </c>
      <c r="B147" s="1" t="n">
        <v>164.64</v>
      </c>
      <c r="C147" s="2" t="n">
        <v>45260</v>
      </c>
      <c r="D147" s="2" t="n">
        <v>45258</v>
      </c>
      <c r="E147" s="0" t="str">
        <f aca="false">IF(D147&lt;&gt;"","Pago","Em Aberto")</f>
        <v>Pago</v>
      </c>
      <c r="F147" s="7" t="n">
        <f aca="false">IF(B147&lt;&gt;"",B147/$B$52,"")</f>
        <v>0.0883418201720262</v>
      </c>
    </row>
    <row r="148" customFormat="false" ht="16.5" hidden="false" customHeight="false" outlineLevel="0" collapsed="false">
      <c r="A148" s="6" t="s">
        <v>18</v>
      </c>
      <c r="B148" s="1" t="n">
        <v>8.8</v>
      </c>
      <c r="C148" s="2" t="n">
        <v>45261</v>
      </c>
      <c r="D148" s="2" t="n">
        <v>45261</v>
      </c>
      <c r="E148" s="0" t="str">
        <f aca="false">IF(D148&lt;&gt;"","Pago","Em Aberto")</f>
        <v>Pago</v>
      </c>
      <c r="F148" s="7" t="n">
        <f aca="false">IF(B148&lt;&gt;"",B148/$B$52,"")</f>
        <v>0.00472186599558935</v>
      </c>
    </row>
    <row r="149" customFormat="false" ht="15" hidden="false" customHeight="false" outlineLevel="0" collapsed="false">
      <c r="B149" s="4" t="n">
        <f aca="false">SUM(B135:B148)</f>
        <v>1662.06</v>
      </c>
      <c r="D149" s="5" t="n">
        <f aca="false">SUMIFS(B135:B148,D135:D148,"")</f>
        <v>0</v>
      </c>
    </row>
    <row r="150" customFormat="false" ht="18.75" hidden="false" customHeight="false" outlineLevel="0" collapsed="false">
      <c r="A150" s="10" t="s">
        <v>61</v>
      </c>
      <c r="B150" s="10"/>
      <c r="C150" s="10"/>
      <c r="D150" s="10"/>
      <c r="E150" s="10"/>
      <c r="F150" s="10"/>
    </row>
    <row r="151" customFormat="false" ht="16.5" hidden="false" customHeight="false" outlineLevel="0" collapsed="false">
      <c r="A151" s="6" t="s">
        <v>20</v>
      </c>
      <c r="B151" s="1" t="n">
        <v>98.07</v>
      </c>
      <c r="C151" s="2" t="n">
        <v>45266</v>
      </c>
      <c r="D151" s="2" t="n">
        <v>45266</v>
      </c>
      <c r="E151" s="0" t="str">
        <f aca="false">IF(D151&lt;&gt;"","Pago","Em Aberto")</f>
        <v>Pago</v>
      </c>
      <c r="F151" s="7" t="n">
        <f aca="false">IF(B151&lt;&gt;"",B151/$B$52,"")</f>
        <v>0.0526219770667554</v>
      </c>
    </row>
    <row r="152" customFormat="false" ht="16.5" hidden="false" customHeight="false" outlineLevel="0" collapsed="false">
      <c r="A152" s="6" t="s">
        <v>22</v>
      </c>
      <c r="B152" s="1" t="n">
        <v>300</v>
      </c>
      <c r="C152" s="2" t="n">
        <v>45271</v>
      </c>
      <c r="D152" s="2" t="n">
        <v>45272</v>
      </c>
      <c r="E152" s="0" t="str">
        <f aca="false">IF(D152&lt;&gt;"","Pago","Em Aberto")</f>
        <v>Pago</v>
      </c>
      <c r="F152" s="7" t="n">
        <f aca="false">IF(B152&lt;&gt;"",B152/$B$52,"")</f>
        <v>0.160972704395091</v>
      </c>
    </row>
    <row r="153" customFormat="false" ht="16.5" hidden="false" customHeight="false" outlineLevel="0" collapsed="false">
      <c r="A153" s="6" t="s">
        <v>21</v>
      </c>
      <c r="B153" s="1" t="n">
        <v>300</v>
      </c>
      <c r="C153" s="2" t="n">
        <v>45270</v>
      </c>
      <c r="D153" s="2" t="n">
        <v>45272</v>
      </c>
      <c r="E153" s="0" t="str">
        <f aca="false">IF(D153&lt;&gt;"","Pago","Em Aberto")</f>
        <v>Pago</v>
      </c>
      <c r="F153" s="7" t="n">
        <f aca="false">IF(B153&lt;&gt;"",B153/$B$52,"")</f>
        <v>0.160972704395091</v>
      </c>
    </row>
    <row r="154" customFormat="false" ht="16.5" hidden="false" customHeight="false" outlineLevel="0" collapsed="false">
      <c r="A154" s="6" t="s">
        <v>31</v>
      </c>
      <c r="B154" s="1" t="n">
        <v>0</v>
      </c>
      <c r="C154" s="2" t="n">
        <v>45275</v>
      </c>
      <c r="D154" s="2" t="n">
        <v>45275</v>
      </c>
      <c r="E154" s="0" t="str">
        <f aca="false">IF(D154&lt;&gt;"","Pago","Em Aberto")</f>
        <v>Pago</v>
      </c>
      <c r="F154" s="7" t="n">
        <f aca="false">IF(B154&lt;&gt;"",B154/$B$52,"")</f>
        <v>0</v>
      </c>
    </row>
    <row r="155" customFormat="false" ht="16.5" hidden="false" customHeight="false" outlineLevel="0" collapsed="false">
      <c r="A155" s="6" t="s">
        <v>55</v>
      </c>
      <c r="B155" s="1" t="n">
        <v>49.99</v>
      </c>
      <c r="C155" s="2" t="n">
        <v>45250</v>
      </c>
      <c r="D155" s="2" t="n">
        <v>45279</v>
      </c>
      <c r="E155" s="0" t="str">
        <f aca="false">IF(D155&lt;&gt;"","Pago","Em Aberto")</f>
        <v>Pago</v>
      </c>
      <c r="F155" s="7" t="n">
        <f aca="false">IF(B155&lt;&gt;"",B155/$B$52,"")</f>
        <v>0.0268234183090354</v>
      </c>
    </row>
    <row r="156" customFormat="false" ht="16.5" hidden="false" customHeight="false" outlineLevel="0" collapsed="false">
      <c r="A156" s="6" t="s">
        <v>13</v>
      </c>
      <c r="B156" s="1" t="n">
        <v>72</v>
      </c>
      <c r="C156" s="2" t="n">
        <v>45280</v>
      </c>
      <c r="D156" s="2" t="n">
        <v>45279</v>
      </c>
      <c r="E156" s="0" t="str">
        <f aca="false">IF(D156&lt;&gt;"","Pago","Em Aberto")</f>
        <v>Pago</v>
      </c>
      <c r="F156" s="7" t="n">
        <f aca="false">IF(B156&lt;&gt;"",B156/$B$52,"")</f>
        <v>0.0386334490548219</v>
      </c>
    </row>
    <row r="157" customFormat="false" ht="16.5" hidden="false" customHeight="false" outlineLevel="0" collapsed="false">
      <c r="A157" s="6" t="s">
        <v>62</v>
      </c>
      <c r="B157" s="1" t="n">
        <v>116.08</v>
      </c>
      <c r="C157" s="2" t="n">
        <v>45285</v>
      </c>
      <c r="D157" s="2" t="n">
        <v>45280</v>
      </c>
      <c r="E157" s="0" t="str">
        <f aca="false">IF(D157&lt;&gt;"","Pago","Em Aberto")</f>
        <v>Pago</v>
      </c>
      <c r="F157" s="7" t="n">
        <f aca="false">IF(B157&lt;&gt;"",B157/$B$52,"")</f>
        <v>0.062285705087274</v>
      </c>
    </row>
    <row r="158" customFormat="false" ht="16.5" hidden="false" customHeight="false" outlineLevel="0" collapsed="false">
      <c r="A158" s="6" t="s">
        <v>6</v>
      </c>
      <c r="B158" s="1" t="n">
        <v>240.16</v>
      </c>
      <c r="C158" s="2" t="n">
        <v>45286</v>
      </c>
      <c r="D158" s="2" t="n">
        <v>45286</v>
      </c>
      <c r="E158" s="0" t="str">
        <f aca="false">IF(D158&lt;&gt;"","Pago","Em Aberto")</f>
        <v>Pago</v>
      </c>
      <c r="F158" s="7" t="n">
        <f aca="false">IF(B158&lt;&gt;"",B158/$B$52,"")</f>
        <v>0.128864015625084</v>
      </c>
    </row>
    <row r="159" customFormat="false" ht="16.5" hidden="false" customHeight="false" outlineLevel="0" collapsed="false">
      <c r="A159" s="6" t="s">
        <v>10</v>
      </c>
      <c r="B159" s="1" t="n">
        <v>0</v>
      </c>
      <c r="C159" s="2" t="n">
        <v>45286</v>
      </c>
      <c r="D159" s="2" t="n">
        <v>45286</v>
      </c>
      <c r="E159" s="0" t="str">
        <f aca="false">IF(D159&lt;&gt;"","Pago","Em Aberto")</f>
        <v>Pago</v>
      </c>
      <c r="F159" s="7" t="n">
        <f aca="false">IF(B159&lt;&gt;"",B159/$B$52,"")</f>
        <v>0</v>
      </c>
    </row>
    <row r="160" customFormat="false" ht="16.5" hidden="false" customHeight="false" outlineLevel="0" collapsed="false">
      <c r="A160" s="6" t="s">
        <v>5</v>
      </c>
      <c r="B160" s="1" t="n">
        <v>226.11</v>
      </c>
      <c r="C160" s="2" t="n">
        <v>45286</v>
      </c>
      <c r="D160" s="2" t="n">
        <v>45286</v>
      </c>
      <c r="E160" s="0" t="str">
        <f aca="false">IF(D160&lt;&gt;"","Pago","Em Aberto")</f>
        <v>Pago</v>
      </c>
      <c r="F160" s="7" t="n">
        <f aca="false">IF(B160&lt;&gt;"",B160/$B$52,"")</f>
        <v>0.12132512730258</v>
      </c>
    </row>
    <row r="161" customFormat="false" ht="16.5" hidden="false" customHeight="false" outlineLevel="0" collapsed="false">
      <c r="A161" s="6" t="s">
        <v>11</v>
      </c>
      <c r="B161" s="1" t="n">
        <v>234</v>
      </c>
      <c r="C161" s="2" t="n">
        <v>45286</v>
      </c>
      <c r="D161" s="2" t="n">
        <v>45286</v>
      </c>
      <c r="E161" s="0" t="str">
        <f aca="false">IF(D161&lt;&gt;"","Pago","Em Aberto")</f>
        <v>Pago</v>
      </c>
      <c r="F161" s="7" t="n">
        <f aca="false">IF(B161&lt;&gt;"",B161/$B$52,"")</f>
        <v>0.125558709428171</v>
      </c>
    </row>
    <row r="162" customFormat="false" ht="16.5" hidden="false" customHeight="false" outlineLevel="0" collapsed="false">
      <c r="A162" s="6" t="s">
        <v>17</v>
      </c>
      <c r="B162" s="1" t="n">
        <v>30.62</v>
      </c>
      <c r="C162" s="2" t="n">
        <v>45286</v>
      </c>
      <c r="D162" s="2" t="n">
        <v>45286</v>
      </c>
      <c r="E162" s="0" t="str">
        <f aca="false">IF(D162&lt;&gt;"","Pago","Em Aberto")</f>
        <v>Pago</v>
      </c>
      <c r="F162" s="7" t="n">
        <f aca="false">IF(B162&lt;&gt;"",B162/$B$52,"")</f>
        <v>0.0164299473619257</v>
      </c>
    </row>
    <row r="163" customFormat="false" ht="16.5" hidden="false" customHeight="false" outlineLevel="0" collapsed="false">
      <c r="A163" s="6" t="s">
        <v>63</v>
      </c>
      <c r="B163" s="1" t="n">
        <v>164.82</v>
      </c>
      <c r="C163" s="2" t="n">
        <v>45288</v>
      </c>
      <c r="D163" s="2" t="n">
        <v>45287</v>
      </c>
      <c r="E163" s="0" t="str">
        <f aca="false">IF(D163&lt;&gt;"","Pago","Em Aberto")</f>
        <v>Pago</v>
      </c>
      <c r="F163" s="7" t="n">
        <f aca="false">IF(B163&lt;&gt;"",B163/$B$52,"")</f>
        <v>0.0884384037946632</v>
      </c>
    </row>
    <row r="164" customFormat="false" ht="16.5" hidden="false" customHeight="false" outlineLevel="0" collapsed="false">
      <c r="A164" s="6" t="s">
        <v>18</v>
      </c>
      <c r="B164" s="1" t="n">
        <v>8.8</v>
      </c>
      <c r="C164" s="2" t="n">
        <v>45297</v>
      </c>
      <c r="D164" s="2" t="n">
        <v>45296</v>
      </c>
      <c r="E164" s="0" t="str">
        <f aca="false">IF(D164&lt;&gt;"","Pago","Em Aberto")</f>
        <v>Pago</v>
      </c>
      <c r="F164" s="7" t="n">
        <f aca="false">IF(B164&lt;&gt;"",B164/$B$52,"")</f>
        <v>0.00472186599558935</v>
      </c>
    </row>
    <row r="165" customFormat="false" ht="15" hidden="false" customHeight="false" outlineLevel="0" collapsed="false">
      <c r="B165" s="4" t="n">
        <f aca="false">SUM(B151:B164)</f>
        <v>1840.65</v>
      </c>
      <c r="D165" s="5" t="n">
        <f aca="false">SUMIFS(B151:B164,D151:D164,"")</f>
        <v>0</v>
      </c>
    </row>
    <row r="166" customFormat="false" ht="18.75" hidden="false" customHeight="false" outlineLevel="0" collapsed="false">
      <c r="A166" s="10" t="s">
        <v>64</v>
      </c>
      <c r="B166" s="10"/>
      <c r="C166" s="10"/>
      <c r="D166" s="10"/>
      <c r="E166" s="10"/>
      <c r="F166" s="10"/>
    </row>
    <row r="167" customFormat="false" ht="16.5" hidden="false" customHeight="false" outlineLevel="0" collapsed="false">
      <c r="A167" s="6" t="s">
        <v>20</v>
      </c>
      <c r="B167" s="1" t="n">
        <v>98.07</v>
      </c>
      <c r="C167" s="2" t="n">
        <v>45299</v>
      </c>
      <c r="D167" s="2" t="n">
        <v>45299</v>
      </c>
      <c r="E167" s="0" t="str">
        <f aca="false">IF(D167&lt;&gt;"","Pago","Em Aberto")</f>
        <v>Pago</v>
      </c>
      <c r="F167" s="7" t="n">
        <f aca="false">IF(B167&lt;&gt;"",B167/$B$52,"")</f>
        <v>0.0526219770667554</v>
      </c>
    </row>
    <row r="168" customFormat="false" ht="16.5" hidden="false" customHeight="false" outlineLevel="0" collapsed="false">
      <c r="A168" s="6" t="s">
        <v>22</v>
      </c>
      <c r="B168" s="1" t="n">
        <v>300</v>
      </c>
      <c r="C168" s="2" t="n">
        <v>45302</v>
      </c>
      <c r="D168" s="2" t="n">
        <v>45302</v>
      </c>
      <c r="E168" s="0" t="str">
        <f aca="false">IF(D168&lt;&gt;"","Pago","Em Aberto")</f>
        <v>Pago</v>
      </c>
      <c r="F168" s="7" t="n">
        <f aca="false">IF(B168&lt;&gt;"",B168/$B$52,"")</f>
        <v>0.160972704395091</v>
      </c>
    </row>
    <row r="169" customFormat="false" ht="16.5" hidden="false" customHeight="false" outlineLevel="0" collapsed="false">
      <c r="A169" s="6" t="s">
        <v>21</v>
      </c>
      <c r="B169" s="1" t="n">
        <v>300</v>
      </c>
      <c r="C169" s="2" t="n">
        <v>45301</v>
      </c>
      <c r="D169" s="2" t="n">
        <v>45302</v>
      </c>
      <c r="E169" s="0" t="str">
        <f aca="false">IF(D169&lt;&gt;"","Pago","Em Aberto")</f>
        <v>Pago</v>
      </c>
      <c r="F169" s="7" t="n">
        <f aca="false">IF(B169&lt;&gt;"",B169/$B$52,"")</f>
        <v>0.160972704395091</v>
      </c>
    </row>
    <row r="170" customFormat="false" ht="16.5" hidden="false" customHeight="false" outlineLevel="0" collapsed="false">
      <c r="A170" s="6" t="s">
        <v>31</v>
      </c>
      <c r="B170" s="1" t="n">
        <v>0</v>
      </c>
      <c r="C170" s="2" t="n">
        <v>45306</v>
      </c>
      <c r="D170" s="2" t="n">
        <v>45306</v>
      </c>
      <c r="E170" s="0" t="str">
        <f aca="false">IF(D170&lt;&gt;"","Pago","Em Aberto")</f>
        <v>Pago</v>
      </c>
      <c r="F170" s="7" t="n">
        <f aca="false">IF(B170&lt;&gt;"",B170/$B$52,"")</f>
        <v>0</v>
      </c>
    </row>
    <row r="171" customFormat="false" ht="16.5" hidden="false" customHeight="false" outlineLevel="0" collapsed="false">
      <c r="A171" s="6" t="s">
        <v>55</v>
      </c>
      <c r="B171" s="1" t="n">
        <v>49.99</v>
      </c>
      <c r="C171" s="2" t="n">
        <v>45311</v>
      </c>
      <c r="D171" s="2" t="n">
        <v>45310</v>
      </c>
      <c r="E171" s="0" t="str">
        <f aca="false">IF(D171&lt;&gt;"","Pago","Em Aberto")</f>
        <v>Pago</v>
      </c>
      <c r="F171" s="7" t="n">
        <f aca="false">IF(B171&lt;&gt;"",B171/$B$52,"")</f>
        <v>0.0268234183090354</v>
      </c>
    </row>
    <row r="172" customFormat="false" ht="16.5" hidden="false" customHeight="false" outlineLevel="0" collapsed="false">
      <c r="A172" s="6" t="s">
        <v>13</v>
      </c>
      <c r="B172" s="1" t="n">
        <v>72</v>
      </c>
      <c r="C172" s="2" t="n">
        <v>45311</v>
      </c>
      <c r="D172" s="2" t="n">
        <v>45310</v>
      </c>
      <c r="E172" s="0" t="str">
        <f aca="false">IF(D172&lt;&gt;"","Pago","Em Aberto")</f>
        <v>Pago</v>
      </c>
      <c r="F172" s="7" t="n">
        <f aca="false">IF(B172&lt;&gt;"",B172/$B$52,"")</f>
        <v>0.0386334490548219</v>
      </c>
    </row>
    <row r="173" customFormat="false" ht="16.5" hidden="false" customHeight="false" outlineLevel="0" collapsed="false">
      <c r="A173" s="6" t="s">
        <v>62</v>
      </c>
      <c r="B173" s="1" t="n">
        <v>0</v>
      </c>
      <c r="C173" s="2" t="n">
        <v>45316</v>
      </c>
      <c r="D173" s="2" t="n">
        <v>45310</v>
      </c>
      <c r="E173" s="0" t="str">
        <f aca="false">IF(D173&lt;&gt;"","Pago","Em Aberto")</f>
        <v>Pago</v>
      </c>
      <c r="F173" s="7" t="n">
        <f aca="false">IF(B173&lt;&gt;"",B173/$B$52,"")</f>
        <v>0</v>
      </c>
    </row>
    <row r="174" customFormat="false" ht="16.5" hidden="false" customHeight="false" outlineLevel="0" collapsed="false">
      <c r="A174" s="6" t="s">
        <v>6</v>
      </c>
      <c r="B174" s="1" t="n">
        <v>240.16</v>
      </c>
      <c r="C174" s="2" t="n">
        <v>45317</v>
      </c>
      <c r="D174" s="2" t="n">
        <v>45315</v>
      </c>
      <c r="E174" s="0" t="str">
        <f aca="false">IF(D174&lt;&gt;"","Pago","Em Aberto")</f>
        <v>Pago</v>
      </c>
      <c r="F174" s="7" t="n">
        <f aca="false">IF(B174&lt;&gt;"",B174/$B$52,"")</f>
        <v>0.128864015625084</v>
      </c>
    </row>
    <row r="175" customFormat="false" ht="16.5" hidden="false" customHeight="false" outlineLevel="0" collapsed="false">
      <c r="A175" s="6" t="s">
        <v>10</v>
      </c>
      <c r="B175" s="1" t="n">
        <v>0</v>
      </c>
      <c r="C175" s="2" t="n">
        <v>45317</v>
      </c>
      <c r="D175" s="2" t="n">
        <v>45315</v>
      </c>
      <c r="E175" s="0" t="str">
        <f aca="false">IF(D175&lt;&gt;"","Pago","Em Aberto")</f>
        <v>Pago</v>
      </c>
      <c r="F175" s="7" t="n">
        <f aca="false">IF(B175&lt;&gt;"",B175/$B$52,"")</f>
        <v>0</v>
      </c>
    </row>
    <row r="176" customFormat="false" ht="16.5" hidden="false" customHeight="false" outlineLevel="0" collapsed="false">
      <c r="A176" s="6" t="s">
        <v>5</v>
      </c>
      <c r="B176" s="1" t="n">
        <v>226.11</v>
      </c>
      <c r="C176" s="2" t="n">
        <v>45317</v>
      </c>
      <c r="D176" s="2" t="n">
        <v>45315</v>
      </c>
      <c r="E176" s="0" t="str">
        <f aca="false">IF(D176&lt;&gt;"","Pago","Em Aberto")</f>
        <v>Pago</v>
      </c>
      <c r="F176" s="7" t="n">
        <f aca="false">IF(B176&lt;&gt;"",B176/$B$52,"")</f>
        <v>0.12132512730258</v>
      </c>
    </row>
    <row r="177" customFormat="false" ht="16.5" hidden="false" customHeight="false" outlineLevel="0" collapsed="false">
      <c r="A177" s="6" t="s">
        <v>11</v>
      </c>
      <c r="B177" s="1" t="n">
        <v>184</v>
      </c>
      <c r="C177" s="2" t="n">
        <v>45317</v>
      </c>
      <c r="D177" s="2" t="n">
        <v>45315</v>
      </c>
      <c r="E177" s="0" t="str">
        <f aca="false">IF(D177&lt;&gt;"","Pago","Em Aberto")</f>
        <v>Pago</v>
      </c>
      <c r="F177" s="7" t="n">
        <f aca="false">IF(B177&lt;&gt;"",B177/$B$52,"")</f>
        <v>0.0987299253623227</v>
      </c>
    </row>
    <row r="178" customFormat="false" ht="16.5" hidden="false" customHeight="false" outlineLevel="0" collapsed="false">
      <c r="A178" s="6" t="s">
        <v>17</v>
      </c>
      <c r="B178" s="1" t="n">
        <v>30.62</v>
      </c>
      <c r="C178" s="2" t="n">
        <v>45317</v>
      </c>
      <c r="D178" s="2" t="n">
        <v>45323</v>
      </c>
      <c r="E178" s="0" t="str">
        <f aca="false">IF(D178&lt;&gt;"","Pago","Em Aberto")</f>
        <v>Pago</v>
      </c>
      <c r="F178" s="7" t="n">
        <f aca="false">IF(B178&lt;&gt;"",B178/$B$52,"")</f>
        <v>0.0164299473619257</v>
      </c>
    </row>
    <row r="179" customFormat="false" ht="16.5" hidden="false" customHeight="false" outlineLevel="0" collapsed="false">
      <c r="A179" s="6" t="s">
        <v>65</v>
      </c>
      <c r="B179" s="1" t="n">
        <v>165.97</v>
      </c>
      <c r="C179" s="2" t="n">
        <v>45321</v>
      </c>
      <c r="D179" s="2" t="n">
        <v>45320</v>
      </c>
      <c r="E179" s="0" t="str">
        <f aca="false">IF(D179&lt;&gt;"","Pago","Em Aberto")</f>
        <v>Pago</v>
      </c>
      <c r="F179" s="7" t="n">
        <f aca="false">IF(B179&lt;&gt;"",B179/$B$52,"")</f>
        <v>0.0890554658281777</v>
      </c>
    </row>
    <row r="180" customFormat="false" ht="16.5" hidden="false" customHeight="false" outlineLevel="0" collapsed="false">
      <c r="A180" s="6" t="s">
        <v>18</v>
      </c>
      <c r="B180" s="1" t="n">
        <v>8.8</v>
      </c>
      <c r="C180" s="2" t="n">
        <v>45323</v>
      </c>
      <c r="D180" s="2" t="n">
        <v>45324</v>
      </c>
      <c r="E180" s="0" t="str">
        <f aca="false">IF(D180&lt;&gt;"","Pago","Em Aberto")</f>
        <v>Pago</v>
      </c>
      <c r="F180" s="7" t="n">
        <f aca="false">IF(B180&lt;&gt;"",B180/$B$52,"")</f>
        <v>0.00472186599558935</v>
      </c>
    </row>
    <row r="181" customFormat="false" ht="15" hidden="false" customHeight="false" outlineLevel="0" collapsed="false">
      <c r="B181" s="4" t="n">
        <f aca="false">SUM(B167:B180)</f>
        <v>1675.72</v>
      </c>
      <c r="D181" s="5" t="n">
        <f aca="false">SUMIFS(B167:B180,D167:D180,"")</f>
        <v>0</v>
      </c>
    </row>
    <row r="182" customFormat="false" ht="18.75" hidden="false" customHeight="false" outlineLevel="0" collapsed="false">
      <c r="A182" s="10" t="s">
        <v>66</v>
      </c>
      <c r="B182" s="10"/>
      <c r="C182" s="10"/>
      <c r="D182" s="10"/>
      <c r="E182" s="10"/>
      <c r="F182" s="10"/>
    </row>
    <row r="183" customFormat="false" ht="16.5" hidden="false" customHeight="false" outlineLevel="0" collapsed="false">
      <c r="A183" s="6" t="s">
        <v>20</v>
      </c>
      <c r="B183" s="1" t="n">
        <v>86.79</v>
      </c>
      <c r="C183" s="2" t="n">
        <v>45327</v>
      </c>
      <c r="D183" s="2" t="n">
        <v>45327</v>
      </c>
      <c r="E183" s="0" t="str">
        <f aca="false">IF(D183&lt;&gt;"","Pago","Em Aberto")</f>
        <v>Pago</v>
      </c>
      <c r="F183" s="7" t="n">
        <f aca="false">IF(B183&lt;&gt;"",B183/$B$52,"")</f>
        <v>0.0465694033815</v>
      </c>
    </row>
    <row r="184" customFormat="false" ht="16.5" hidden="false" customHeight="false" outlineLevel="0" collapsed="false">
      <c r="A184" s="6" t="s">
        <v>21</v>
      </c>
      <c r="B184" s="1" t="n">
        <v>300</v>
      </c>
      <c r="C184" s="2" t="n">
        <v>45332</v>
      </c>
      <c r="D184" s="2" t="n">
        <v>45334</v>
      </c>
      <c r="E184" s="0" t="str">
        <f aca="false">IF(D184&lt;&gt;"","Pago","Em Aberto")</f>
        <v>Pago</v>
      </c>
      <c r="F184" s="7" t="n">
        <f aca="false">IF(B184&lt;&gt;"",B184/$B$52,"")</f>
        <v>0.160972704395091</v>
      </c>
    </row>
    <row r="185" customFormat="false" ht="16.5" hidden="false" customHeight="false" outlineLevel="0" collapsed="false">
      <c r="A185" s="6" t="s">
        <v>31</v>
      </c>
      <c r="B185" s="1" t="n">
        <v>0</v>
      </c>
      <c r="C185" s="2" t="n">
        <v>45337</v>
      </c>
      <c r="D185" s="2" t="n">
        <v>45324</v>
      </c>
      <c r="E185" s="0" t="str">
        <f aca="false">IF(D185&lt;&gt;"","Pago","Em Aberto")</f>
        <v>Pago</v>
      </c>
      <c r="F185" s="7" t="n">
        <f aca="false">IF(B185&lt;&gt;"",B185/$B$52,"")</f>
        <v>0</v>
      </c>
    </row>
    <row r="186" customFormat="false" ht="16.5" hidden="false" customHeight="false" outlineLevel="0" collapsed="false">
      <c r="A186" s="6" t="s">
        <v>55</v>
      </c>
      <c r="B186" s="1" t="n">
        <v>49.99</v>
      </c>
      <c r="C186" s="2" t="n">
        <v>45342</v>
      </c>
      <c r="D186" s="2" t="n">
        <v>45341</v>
      </c>
      <c r="E186" s="0" t="str">
        <f aca="false">IF(D186&lt;&gt;"","Pago","Em Aberto")</f>
        <v>Pago</v>
      </c>
      <c r="F186" s="7" t="n">
        <f aca="false">IF(B186&lt;&gt;"",B186/$B$52,"")</f>
        <v>0.0268234183090354</v>
      </c>
    </row>
    <row r="187" customFormat="false" ht="16.5" hidden="false" customHeight="false" outlineLevel="0" collapsed="false">
      <c r="A187" s="6" t="s">
        <v>13</v>
      </c>
      <c r="B187" s="1" t="n">
        <v>76.6</v>
      </c>
      <c r="C187" s="2" t="n">
        <v>45342</v>
      </c>
      <c r="D187" s="2" t="n">
        <v>45341</v>
      </c>
      <c r="E187" s="0" t="str">
        <f aca="false">IF(D187&lt;&gt;"","Pago","Em Aberto")</f>
        <v>Pago</v>
      </c>
      <c r="F187" s="7" t="n">
        <f aca="false">IF(B187&lt;&gt;"",B187/$B$52,"")</f>
        <v>0.04110169718888</v>
      </c>
    </row>
    <row r="188" customFormat="false" ht="16.5" hidden="false" customHeight="false" outlineLevel="0" collapsed="false">
      <c r="A188" s="6" t="s">
        <v>62</v>
      </c>
      <c r="B188" s="1" t="n">
        <v>0</v>
      </c>
      <c r="C188" s="2" t="n">
        <v>45347</v>
      </c>
      <c r="D188" s="2" t="n">
        <v>45341</v>
      </c>
      <c r="E188" s="0" t="str">
        <f aca="false">IF(D188&lt;&gt;"","Pago","Em Aberto")</f>
        <v>Pago</v>
      </c>
      <c r="F188" s="7" t="n">
        <f aca="false">IF(B188&lt;&gt;"",B188/$B$52,"")</f>
        <v>0</v>
      </c>
    </row>
    <row r="189" customFormat="false" ht="16.5" hidden="false" customHeight="false" outlineLevel="0" collapsed="false">
      <c r="A189" s="6" t="s">
        <v>6</v>
      </c>
      <c r="B189" s="1" t="n">
        <v>194.69</v>
      </c>
      <c r="C189" s="2" t="n">
        <v>45348</v>
      </c>
      <c r="D189" s="2" t="n">
        <v>45341</v>
      </c>
      <c r="E189" s="0" t="str">
        <f aca="false">IF(D189&lt;&gt;"","Pago","Em Aberto")</f>
        <v>Pago</v>
      </c>
      <c r="F189" s="7" t="n">
        <f aca="false">IF(B189&lt;&gt;"",B189/$B$52,"")</f>
        <v>0.104465919395601</v>
      </c>
    </row>
    <row r="190" customFormat="false" ht="16.5" hidden="false" customHeight="false" outlineLevel="0" collapsed="false">
      <c r="A190" s="6" t="s">
        <v>10</v>
      </c>
      <c r="B190" s="1" t="n">
        <v>0</v>
      </c>
      <c r="C190" s="2" t="n">
        <v>45348</v>
      </c>
      <c r="D190" s="2" t="n">
        <v>45341</v>
      </c>
      <c r="E190" s="0" t="str">
        <f aca="false">IF(D190&lt;&gt;"","Pago","Em Aberto")</f>
        <v>Pago</v>
      </c>
      <c r="F190" s="7" t="n">
        <f aca="false">IF(B190&lt;&gt;"",B190/$B$52,"")</f>
        <v>0</v>
      </c>
    </row>
    <row r="191" customFormat="false" ht="16.5" hidden="false" customHeight="false" outlineLevel="0" collapsed="false">
      <c r="A191" s="6" t="s">
        <v>5</v>
      </c>
      <c r="B191" s="1" t="n">
        <v>226.11</v>
      </c>
      <c r="C191" s="2" t="n">
        <v>45348</v>
      </c>
      <c r="D191" s="2" t="n">
        <v>45342</v>
      </c>
      <c r="E191" s="0" t="str">
        <f aca="false">IF(D191&lt;&gt;"","Pago","Em Aberto")</f>
        <v>Pago</v>
      </c>
      <c r="F191" s="7" t="n">
        <f aca="false">IF(B191&lt;&gt;"",B191/$B$52,"")</f>
        <v>0.12132512730258</v>
      </c>
    </row>
    <row r="192" customFormat="false" ht="16.5" hidden="false" customHeight="false" outlineLevel="0" collapsed="false">
      <c r="A192" s="6" t="s">
        <v>11</v>
      </c>
      <c r="B192" s="1" t="n">
        <v>105</v>
      </c>
      <c r="C192" s="2" t="n">
        <v>45348</v>
      </c>
      <c r="D192" s="2" t="n">
        <v>45342</v>
      </c>
      <c r="E192" s="0" t="str">
        <f aca="false">IF(D192&lt;&gt;"","Pago","Em Aberto")</f>
        <v>Pago</v>
      </c>
      <c r="F192" s="7" t="n">
        <f aca="false">IF(B192&lt;&gt;"",B192/$B$52,"")</f>
        <v>0.056340446538282</v>
      </c>
    </row>
    <row r="193" customFormat="false" ht="16.5" hidden="false" customHeight="false" outlineLevel="0" collapsed="false">
      <c r="A193" s="6" t="s">
        <v>67</v>
      </c>
      <c r="B193" s="1" t="n">
        <v>167</v>
      </c>
      <c r="C193" s="2" t="n">
        <v>45351</v>
      </c>
      <c r="D193" s="2" t="n">
        <v>45342</v>
      </c>
      <c r="E193" s="0" t="str">
        <f aca="false">IF(D193&lt;&gt;"","Pago","Em Aberto")</f>
        <v>Pago</v>
      </c>
      <c r="F193" s="7" t="n">
        <f aca="false">IF(B193&lt;&gt;"",B193/$B$52,"")</f>
        <v>0.0896081387799342</v>
      </c>
    </row>
    <row r="194" customFormat="false" ht="16.5" hidden="false" customHeight="false" outlineLevel="0" collapsed="false">
      <c r="A194" s="6" t="s">
        <v>18</v>
      </c>
      <c r="B194" s="1" t="n">
        <v>8.8</v>
      </c>
      <c r="C194" s="2" t="n">
        <v>45352</v>
      </c>
      <c r="D194" s="2" t="n">
        <v>45352</v>
      </c>
      <c r="E194" s="0" t="str">
        <f aca="false">IF(D194&lt;&gt;"","Pago","Em Aberto")</f>
        <v>Pago</v>
      </c>
      <c r="F194" s="7" t="n">
        <f aca="false">IF(B194&lt;&gt;"",B194/$B$52,"")</f>
        <v>0.00472186599558935</v>
      </c>
    </row>
    <row r="195" customFormat="false" ht="15" hidden="false" customHeight="false" outlineLevel="0" collapsed="false">
      <c r="B195" s="4" t="n">
        <f aca="false">SUM(B183:B194)</f>
        <v>1214.98</v>
      </c>
      <c r="D195" s="5" t="n">
        <f aca="false">SUMIFS(B183:B194,D183:D194,"")</f>
        <v>0</v>
      </c>
    </row>
    <row r="196" customFormat="false" ht="18.75" hidden="false" customHeight="false" outlineLevel="0" collapsed="false">
      <c r="A196" s="10" t="s">
        <v>68</v>
      </c>
      <c r="B196" s="10"/>
      <c r="C196" s="10"/>
      <c r="D196" s="10"/>
      <c r="E196" s="10"/>
      <c r="F196" s="10"/>
    </row>
    <row r="197" customFormat="false" ht="16.5" hidden="false" customHeight="false" outlineLevel="0" collapsed="false">
      <c r="A197" s="6" t="s">
        <v>20</v>
      </c>
      <c r="B197" s="1" t="n">
        <v>130.39</v>
      </c>
      <c r="C197" s="2" t="n">
        <v>45357</v>
      </c>
      <c r="D197" s="2" t="n">
        <v>45357</v>
      </c>
      <c r="E197" s="0" t="str">
        <f aca="false">IF(D197&lt;&gt;"","Pago","Em Aberto")</f>
        <v>Pago</v>
      </c>
      <c r="F197" s="7" t="n">
        <f aca="false">IF(B197&lt;&gt;"",B197/$B$52,"")</f>
        <v>0.0699641030869199</v>
      </c>
    </row>
    <row r="198" customFormat="false" ht="16.5" hidden="false" customHeight="false" outlineLevel="0" collapsed="false">
      <c r="A198" s="6" t="s">
        <v>21</v>
      </c>
      <c r="B198" s="1" t="n">
        <v>300</v>
      </c>
      <c r="C198" s="2" t="n">
        <v>45361</v>
      </c>
      <c r="D198" s="2" t="n">
        <v>45364</v>
      </c>
      <c r="E198" s="0" t="str">
        <f aca="false">IF(D198&lt;&gt;"","Pago","Em Aberto")</f>
        <v>Pago</v>
      </c>
      <c r="F198" s="7" t="n">
        <f aca="false">IF(B198&lt;&gt;"",B198/$B$52,"")</f>
        <v>0.160972704395091</v>
      </c>
    </row>
    <row r="199" customFormat="false" ht="16.5" hidden="false" customHeight="false" outlineLevel="0" collapsed="false">
      <c r="A199" s="6" t="s">
        <v>31</v>
      </c>
      <c r="B199" s="1" t="n">
        <v>159.35</v>
      </c>
      <c r="C199" s="2" t="n">
        <v>45366</v>
      </c>
      <c r="D199" s="2" t="n">
        <v>45356</v>
      </c>
      <c r="E199" s="0" t="str">
        <f aca="false">IF(D199&lt;&gt;"","Pago","Em Aberto")</f>
        <v>Pago</v>
      </c>
      <c r="F199" s="7" t="n">
        <f aca="false">IF(B199&lt;&gt;"",B199/$B$52,"")</f>
        <v>0.0855033348178594</v>
      </c>
    </row>
    <row r="200" customFormat="false" ht="16.5" hidden="false" customHeight="false" outlineLevel="0" collapsed="false">
      <c r="A200" s="6" t="s">
        <v>55</v>
      </c>
      <c r="B200" s="1" t="n">
        <v>49.99</v>
      </c>
      <c r="C200" s="2" t="n">
        <v>45371</v>
      </c>
      <c r="D200" s="2" t="n">
        <v>45369</v>
      </c>
      <c r="E200" s="0" t="str">
        <f aca="false">IF(D200&lt;&gt;"","Pago","Em Aberto")</f>
        <v>Pago</v>
      </c>
      <c r="F200" s="7" t="n">
        <f aca="false">IF(B200&lt;&gt;"",B200/$B$52,"")</f>
        <v>0.0268234183090354</v>
      </c>
    </row>
    <row r="201" customFormat="false" ht="16.5" hidden="false" customHeight="false" outlineLevel="0" collapsed="false">
      <c r="A201" s="6" t="s">
        <v>13</v>
      </c>
      <c r="B201" s="1" t="n">
        <v>76.6</v>
      </c>
      <c r="C201" s="2" t="n">
        <v>45371</v>
      </c>
      <c r="D201" s="2" t="n">
        <v>45369</v>
      </c>
      <c r="E201" s="0" t="str">
        <f aca="false">IF(D201&lt;&gt;"","Pago","Em Aberto")</f>
        <v>Pago</v>
      </c>
      <c r="F201" s="7" t="n">
        <f aca="false">IF(B201&lt;&gt;"",B201/$B$52,"")</f>
        <v>0.04110169718888</v>
      </c>
    </row>
    <row r="202" customFormat="false" ht="16.5" hidden="false" customHeight="false" outlineLevel="0" collapsed="false">
      <c r="A202" s="6" t="s">
        <v>69</v>
      </c>
      <c r="B202" s="1" t="n">
        <v>260</v>
      </c>
      <c r="C202" s="2" t="n">
        <v>45376</v>
      </c>
      <c r="D202" s="2" t="n">
        <v>45369</v>
      </c>
      <c r="E202" s="0" t="str">
        <f aca="false">IF(D202&lt;&gt;"","Pago","Em Aberto")</f>
        <v>Pago</v>
      </c>
      <c r="F202" s="7" t="n">
        <f aca="false">IF(B202&lt;&gt;"",B202/$B$52,"")</f>
        <v>0.139509677142413</v>
      </c>
    </row>
    <row r="203" customFormat="false" ht="16.5" hidden="false" customHeight="false" outlineLevel="0" collapsed="false">
      <c r="A203" s="6" t="s">
        <v>6</v>
      </c>
      <c r="B203" s="1" t="n">
        <v>0</v>
      </c>
      <c r="C203" s="2" t="n">
        <v>45377</v>
      </c>
      <c r="D203" s="2" t="n">
        <v>45369</v>
      </c>
      <c r="E203" s="0" t="str">
        <f aca="false">IF(D203&lt;&gt;"","Pago","Em Aberto")</f>
        <v>Pago</v>
      </c>
      <c r="F203" s="7" t="n">
        <f aca="false">IF(B203&lt;&gt;"",B203/$B$52,"")</f>
        <v>0</v>
      </c>
    </row>
    <row r="204" customFormat="false" ht="16.5" hidden="false" customHeight="false" outlineLevel="0" collapsed="false">
      <c r="A204" s="6" t="s">
        <v>10</v>
      </c>
      <c r="B204" s="1" t="n">
        <v>0</v>
      </c>
      <c r="C204" s="2" t="n">
        <v>45377</v>
      </c>
      <c r="D204" s="2" t="n">
        <v>45369</v>
      </c>
      <c r="E204" s="0" t="str">
        <f aca="false">IF(D204&lt;&gt;"","Pago","Em Aberto")</f>
        <v>Pago</v>
      </c>
      <c r="F204" s="7" t="n">
        <f aca="false">IF(B204&lt;&gt;"",B204/$B$52,"")</f>
        <v>0</v>
      </c>
    </row>
    <row r="205" customFormat="false" ht="16.5" hidden="false" customHeight="false" outlineLevel="0" collapsed="false">
      <c r="A205" s="6" t="s">
        <v>5</v>
      </c>
      <c r="B205" s="1" t="n">
        <v>226.11</v>
      </c>
      <c r="C205" s="2" t="n">
        <v>45377</v>
      </c>
      <c r="D205" s="2" t="n">
        <v>45369</v>
      </c>
      <c r="E205" s="0" t="str">
        <f aca="false">IF(D205&lt;&gt;"","Pago","Em Aberto")</f>
        <v>Pago</v>
      </c>
      <c r="F205" s="7" t="n">
        <f aca="false">IF(B205&lt;&gt;"",B205/$B$52,"")</f>
        <v>0.12132512730258</v>
      </c>
    </row>
    <row r="206" customFormat="false" ht="16.5" hidden="false" customHeight="false" outlineLevel="0" collapsed="false">
      <c r="A206" s="6" t="s">
        <v>11</v>
      </c>
      <c r="B206" s="1" t="n">
        <v>155.49</v>
      </c>
      <c r="C206" s="2" t="n">
        <v>45377</v>
      </c>
      <c r="D206" s="2" t="n">
        <v>45356</v>
      </c>
      <c r="E206" s="0" t="str">
        <f aca="false">IF(D206&lt;&gt;"","Pago","Em Aberto")</f>
        <v>Pago</v>
      </c>
      <c r="F206" s="7" t="n">
        <f aca="false">IF(B206&lt;&gt;"",B206/$B$52,"")</f>
        <v>0.0834321526879759</v>
      </c>
    </row>
    <row r="207" customFormat="false" ht="16.5" hidden="false" customHeight="false" outlineLevel="0" collapsed="false">
      <c r="A207" s="6" t="s">
        <v>70</v>
      </c>
      <c r="B207" s="1" t="n">
        <v>168.24</v>
      </c>
      <c r="C207" s="2" t="n">
        <v>45380</v>
      </c>
      <c r="D207" s="2" t="n">
        <v>45369</v>
      </c>
      <c r="E207" s="0" t="str">
        <f aca="false">IF(D207&lt;&gt;"","Pago","Em Aberto")</f>
        <v>Pago</v>
      </c>
      <c r="F207" s="7" t="n">
        <f aca="false">IF(B207&lt;&gt;"",B207/$B$52,"")</f>
        <v>0.0902734926247673</v>
      </c>
    </row>
    <row r="208" customFormat="false" ht="16.5" hidden="false" customHeight="false" outlineLevel="0" collapsed="false">
      <c r="A208" s="6" t="s">
        <v>18</v>
      </c>
      <c r="B208" s="1" t="n">
        <v>8.8</v>
      </c>
      <c r="C208" s="2" t="n">
        <v>45383</v>
      </c>
      <c r="D208" s="2" t="n">
        <v>45383</v>
      </c>
      <c r="E208" s="0" t="str">
        <f aca="false">IF(D208&lt;&gt;"","Pago","Em Aberto")</f>
        <v>Pago</v>
      </c>
      <c r="F208" s="7" t="n">
        <f aca="false">IF(B208&lt;&gt;"",B208/$B$52,"")</f>
        <v>0.00472186599558935</v>
      </c>
    </row>
    <row r="209" customFormat="false" ht="15" hidden="false" customHeight="false" outlineLevel="0" collapsed="false">
      <c r="B209" s="4" t="n">
        <f aca="false">SUM(B197:B208)</f>
        <v>1534.97</v>
      </c>
      <c r="D209" s="5" t="n">
        <f aca="false">SUMIFS(B197:B208,D197:D208,"")</f>
        <v>0</v>
      </c>
    </row>
    <row r="210" customFormat="false" ht="18.75" hidden="false" customHeight="false" outlineLevel="0" collapsed="false">
      <c r="A210" s="10" t="s">
        <v>71</v>
      </c>
      <c r="B210" s="10"/>
      <c r="C210" s="10"/>
      <c r="D210" s="10"/>
      <c r="E210" s="10"/>
      <c r="F210" s="10"/>
    </row>
    <row r="211" customFormat="false" ht="16.5" hidden="false" customHeight="false" outlineLevel="0" collapsed="false">
      <c r="A211" s="6" t="s">
        <v>20</v>
      </c>
      <c r="B211" s="1" t="n">
        <v>130.39</v>
      </c>
      <c r="C211" s="2" t="n">
        <v>45387</v>
      </c>
      <c r="D211" s="2" t="n">
        <v>45390</v>
      </c>
      <c r="E211" s="0" t="str">
        <f aca="false">IF(D211&lt;&gt;"","Pago","Em Aberto")</f>
        <v>Pago</v>
      </c>
      <c r="F211" s="7" t="n">
        <f aca="false">IF(B211&lt;&gt;"",B211/$B$52,"")</f>
        <v>0.0699641030869199</v>
      </c>
    </row>
    <row r="212" customFormat="false" ht="16.5" hidden="false" customHeight="false" outlineLevel="0" collapsed="false">
      <c r="A212" s="6" t="s">
        <v>21</v>
      </c>
      <c r="B212" s="1" t="n">
        <v>300</v>
      </c>
      <c r="C212" s="2" t="n">
        <v>45392</v>
      </c>
      <c r="D212" s="2" t="n">
        <v>45394</v>
      </c>
      <c r="E212" s="0" t="str">
        <f aca="false">IF(D212&lt;&gt;"","Pago","Em Aberto")</f>
        <v>Pago</v>
      </c>
      <c r="F212" s="7" t="n">
        <f aca="false">IF(B212&lt;&gt;"",B212/$B$52,"")</f>
        <v>0.160972704395091</v>
      </c>
    </row>
    <row r="213" customFormat="false" ht="16.5" hidden="false" customHeight="false" outlineLevel="0" collapsed="false">
      <c r="A213" s="6" t="s">
        <v>31</v>
      </c>
      <c r="B213" s="1" t="n">
        <v>159.35</v>
      </c>
      <c r="C213" s="2" t="n">
        <v>45397</v>
      </c>
      <c r="D213" s="2" t="n">
        <v>45391</v>
      </c>
      <c r="E213" s="0" t="str">
        <f aca="false">IF(D213&lt;&gt;"","Pago","Em Aberto")</f>
        <v>Pago</v>
      </c>
      <c r="F213" s="7" t="n">
        <f aca="false">IF(B213&lt;&gt;"",B213/$B$52,"")</f>
        <v>0.0855033348178594</v>
      </c>
    </row>
    <row r="214" customFormat="false" ht="16.5" hidden="false" customHeight="false" outlineLevel="0" collapsed="false">
      <c r="A214" s="6" t="s">
        <v>55</v>
      </c>
      <c r="B214" s="1" t="n">
        <v>49.99</v>
      </c>
      <c r="C214" s="2" t="n">
        <v>45402</v>
      </c>
      <c r="D214" s="2" t="n">
        <v>45398</v>
      </c>
      <c r="E214" s="0" t="str">
        <f aca="false">IF(D214&lt;&gt;"","Pago","Em Aberto")</f>
        <v>Pago</v>
      </c>
      <c r="F214" s="7" t="n">
        <f aca="false">IF(B214&lt;&gt;"",B214/$B$52,"")</f>
        <v>0.0268234183090354</v>
      </c>
    </row>
    <row r="215" customFormat="false" ht="16.5" hidden="false" customHeight="false" outlineLevel="0" collapsed="false">
      <c r="A215" s="6" t="s">
        <v>13</v>
      </c>
      <c r="B215" s="1" t="n">
        <v>76.6</v>
      </c>
      <c r="C215" s="2" t="n">
        <v>45402</v>
      </c>
      <c r="D215" s="2" t="n">
        <v>45398</v>
      </c>
      <c r="E215" s="0" t="str">
        <f aca="false">IF(D215&lt;&gt;"","Pago","Em Aberto")</f>
        <v>Pago</v>
      </c>
      <c r="F215" s="7" t="n">
        <f aca="false">IF(B215&lt;&gt;"",B215/$B$52,"")</f>
        <v>0.04110169718888</v>
      </c>
    </row>
    <row r="216" customFormat="false" ht="16.5" hidden="false" customHeight="false" outlineLevel="0" collapsed="false">
      <c r="A216" s="6" t="s">
        <v>72</v>
      </c>
      <c r="B216" s="1" t="n">
        <v>260</v>
      </c>
      <c r="C216" s="2" t="n">
        <v>45407</v>
      </c>
      <c r="D216" s="2" t="n">
        <v>45391</v>
      </c>
      <c r="E216" s="0" t="str">
        <f aca="false">IF(D216&lt;&gt;"","Pago","Em Aberto")</f>
        <v>Pago</v>
      </c>
      <c r="F216" s="7" t="n">
        <f aca="false">IF(B216&lt;&gt;"",B216/$B$52,"")</f>
        <v>0.139509677142413</v>
      </c>
    </row>
    <row r="217" customFormat="false" ht="16.5" hidden="false" customHeight="false" outlineLevel="0" collapsed="false">
      <c r="A217" s="6" t="s">
        <v>6</v>
      </c>
      <c r="B217" s="1" t="n">
        <v>0</v>
      </c>
      <c r="C217" s="2" t="n">
        <v>45408</v>
      </c>
      <c r="D217" s="2" t="n">
        <v>45391</v>
      </c>
      <c r="E217" s="0" t="str">
        <f aca="false">IF(D217&lt;&gt;"","Pago","Em Aberto")</f>
        <v>Pago</v>
      </c>
      <c r="F217" s="7" t="n">
        <f aca="false">IF(B217&lt;&gt;"",B217/$B$52,"")</f>
        <v>0</v>
      </c>
    </row>
    <row r="218" customFormat="false" ht="16.5" hidden="false" customHeight="false" outlineLevel="0" collapsed="false">
      <c r="A218" s="6" t="s">
        <v>10</v>
      </c>
      <c r="B218" s="1" t="n">
        <v>0</v>
      </c>
      <c r="C218" s="2" t="n">
        <v>45408</v>
      </c>
      <c r="D218" s="2" t="n">
        <v>45391</v>
      </c>
      <c r="E218" s="0" t="str">
        <f aca="false">IF(D218&lt;&gt;"","Pago","Em Aberto")</f>
        <v>Pago</v>
      </c>
      <c r="F218" s="7" t="n">
        <f aca="false">IF(B218&lt;&gt;"",B218/$B$52,"")</f>
        <v>0</v>
      </c>
    </row>
    <row r="219" customFormat="false" ht="16.5" hidden="false" customHeight="false" outlineLevel="0" collapsed="false">
      <c r="A219" s="6" t="s">
        <v>5</v>
      </c>
      <c r="B219" s="1" t="n">
        <v>226.11</v>
      </c>
      <c r="C219" s="2" t="n">
        <v>45408</v>
      </c>
      <c r="D219" s="2" t="n">
        <v>45391</v>
      </c>
      <c r="E219" s="0" t="str">
        <f aca="false">IF(D219&lt;&gt;"","Pago","Em Aberto")</f>
        <v>Pago</v>
      </c>
      <c r="F219" s="7" t="n">
        <f aca="false">IF(B219&lt;&gt;"",B219/$B$52,"")</f>
        <v>0.12132512730258</v>
      </c>
    </row>
    <row r="220" customFormat="false" ht="16.5" hidden="false" customHeight="false" outlineLevel="0" collapsed="false">
      <c r="A220" s="6" t="s">
        <v>11</v>
      </c>
      <c r="B220" s="1" t="n">
        <v>155.49</v>
      </c>
      <c r="C220" s="2" t="n">
        <v>45408</v>
      </c>
      <c r="D220" s="2" t="n">
        <v>45391</v>
      </c>
      <c r="E220" s="0" t="str">
        <f aca="false">IF(D220&lt;&gt;"","Pago","Em Aberto")</f>
        <v>Pago</v>
      </c>
      <c r="F220" s="7" t="n">
        <f aca="false">IF(B220&lt;&gt;"",B220/$B$52,"")</f>
        <v>0.0834321526879759</v>
      </c>
    </row>
    <row r="221" customFormat="false" ht="16.5" hidden="false" customHeight="false" outlineLevel="0" collapsed="false">
      <c r="A221" s="6" t="s">
        <v>73</v>
      </c>
      <c r="B221" s="1" t="n">
        <v>169.3</v>
      </c>
      <c r="C221" s="2" t="n">
        <v>45411</v>
      </c>
      <c r="D221" s="2" t="n">
        <v>45398</v>
      </c>
      <c r="E221" s="0" t="str">
        <f aca="false">IF(D221&lt;&gt;"","Pago","Em Aberto")</f>
        <v>Pago</v>
      </c>
      <c r="F221" s="7" t="n">
        <f aca="false">IF(B221&lt;&gt;"",B221/$B$52,"")</f>
        <v>0.0908422628469633</v>
      </c>
    </row>
    <row r="222" customFormat="false" ht="16.5" hidden="false" customHeight="false" outlineLevel="0" collapsed="false">
      <c r="A222" s="6" t="s">
        <v>18</v>
      </c>
      <c r="B222" s="1" t="n">
        <v>8.8</v>
      </c>
      <c r="C222" s="2" t="n">
        <v>45414</v>
      </c>
      <c r="D222" s="2"/>
      <c r="E222" s="0" t="str">
        <f aca="false">IF(D222&lt;&gt;"","Pago","Em Aberto")</f>
        <v>Em Aberto</v>
      </c>
      <c r="F222" s="7" t="n">
        <f aca="false">IF(B222&lt;&gt;"",B222/$B$52,"")</f>
        <v>0.00472186599558935</v>
      </c>
    </row>
    <row r="223" customFormat="false" ht="15" hidden="false" customHeight="false" outlineLevel="0" collapsed="false">
      <c r="B223" s="4" t="n">
        <f aca="false">SUM(B211:B222)</f>
        <v>1536.03</v>
      </c>
      <c r="D223" s="5" t="n">
        <f aca="false">SUMIFS(B211:B222,D211:D222,"")</f>
        <v>8.8</v>
      </c>
    </row>
    <row r="224" customFormat="false" ht="18.75" hidden="false" customHeight="false" outlineLevel="0" collapsed="false">
      <c r="A224" s="10" t="s">
        <v>74</v>
      </c>
      <c r="B224" s="10"/>
      <c r="C224" s="10"/>
      <c r="D224" s="10"/>
      <c r="E224" s="10"/>
      <c r="F224" s="10"/>
    </row>
    <row r="225" customFormat="false" ht="16.5" hidden="false" customHeight="false" outlineLevel="0" collapsed="false">
      <c r="A225" s="6" t="s">
        <v>20</v>
      </c>
      <c r="B225" s="1" t="n">
        <v>30.39</v>
      </c>
      <c r="C225" s="2" t="n">
        <v>45419</v>
      </c>
      <c r="D225" s="2" t="n">
        <v>45419</v>
      </c>
      <c r="E225" s="0" t="str">
        <f aca="false">IF(D225&lt;&gt;"","Pago","Em Aberto")</f>
        <v>Pago</v>
      </c>
      <c r="F225" s="7" t="n">
        <f aca="false">IF(B225&lt;&gt;"",B225/$B$52,"")</f>
        <v>0.0163065349552228</v>
      </c>
    </row>
    <row r="226" customFormat="false" ht="16.5" hidden="false" customHeight="false" outlineLevel="0" collapsed="false">
      <c r="A226" s="6" t="s">
        <v>21</v>
      </c>
      <c r="B226" s="1" t="n">
        <v>300</v>
      </c>
      <c r="C226" s="2" t="n">
        <v>45422</v>
      </c>
      <c r="D226" s="2" t="n">
        <v>45425</v>
      </c>
      <c r="E226" s="0" t="str">
        <f aca="false">IF(D226&lt;&gt;"","Pago","Em Aberto")</f>
        <v>Pago</v>
      </c>
      <c r="F226" s="7" t="n">
        <f aca="false">IF(B226&lt;&gt;"",B226/$B$52,"")</f>
        <v>0.160972704395091</v>
      </c>
    </row>
    <row r="227" customFormat="false" ht="16.5" hidden="false" customHeight="false" outlineLevel="0" collapsed="false">
      <c r="A227" s="6" t="s">
        <v>31</v>
      </c>
      <c r="B227" s="1" t="n">
        <v>159.35</v>
      </c>
      <c r="C227" s="2" t="n">
        <v>45427</v>
      </c>
      <c r="D227" s="2" t="n">
        <v>45425</v>
      </c>
      <c r="E227" s="0" t="str">
        <f aca="false">IF(D227&lt;&gt;"","Pago","Em Aberto")</f>
        <v>Pago</v>
      </c>
      <c r="F227" s="7" t="n">
        <f aca="false">IF(B227&lt;&gt;"",B227/$B$52,"")</f>
        <v>0.0855033348178594</v>
      </c>
    </row>
    <row r="228" customFormat="false" ht="16.5" hidden="false" customHeight="false" outlineLevel="0" collapsed="false">
      <c r="A228" s="6" t="s">
        <v>55</v>
      </c>
      <c r="B228" s="11" t="n">
        <v>54.99</v>
      </c>
      <c r="C228" s="2" t="n">
        <v>45432</v>
      </c>
      <c r="D228" s="2" t="n">
        <v>45428</v>
      </c>
      <c r="E228" s="0" t="str">
        <f aca="false">IF(D228&lt;&gt;"","Pago","Em Aberto")</f>
        <v>Pago</v>
      </c>
      <c r="F228" s="7" t="n">
        <f aca="false">IF(B228&lt;&gt;"",B228/$B$52,"")</f>
        <v>0.0295062967156203</v>
      </c>
    </row>
    <row r="229" customFormat="false" ht="16.5" hidden="false" customHeight="false" outlineLevel="0" collapsed="false">
      <c r="A229" s="6" t="s">
        <v>13</v>
      </c>
      <c r="B229" s="1" t="n">
        <v>76.6</v>
      </c>
      <c r="C229" s="2" t="n">
        <v>45432</v>
      </c>
      <c r="D229" s="2" t="n">
        <v>45428</v>
      </c>
      <c r="E229" s="0" t="str">
        <f aca="false">IF(D229&lt;&gt;"","Pago","Em Aberto")</f>
        <v>Pago</v>
      </c>
      <c r="F229" s="7" t="n">
        <f aca="false">IF(B229&lt;&gt;"",B229/$B$52,"")</f>
        <v>0.04110169718888</v>
      </c>
    </row>
    <row r="230" customFormat="false" ht="16.5" hidden="false" customHeight="false" outlineLevel="0" collapsed="false">
      <c r="A230" s="6" t="s">
        <v>75</v>
      </c>
      <c r="B230" s="1" t="n">
        <v>0</v>
      </c>
      <c r="C230" s="2" t="n">
        <v>45437</v>
      </c>
      <c r="D230" s="2" t="n">
        <v>45428</v>
      </c>
      <c r="E230" s="0" t="str">
        <f aca="false">IF(D230&lt;&gt;"","Pago","Em Aberto")</f>
        <v>Pago</v>
      </c>
      <c r="F230" s="7" t="n">
        <f aca="false">IF(B230&lt;&gt;"",B230/$B$52,"")</f>
        <v>0</v>
      </c>
    </row>
    <row r="231" customFormat="false" ht="16.5" hidden="false" customHeight="false" outlineLevel="0" collapsed="false">
      <c r="A231" s="6" t="s">
        <v>6</v>
      </c>
      <c r="B231" s="1" t="n">
        <v>0</v>
      </c>
      <c r="C231" s="2" t="n">
        <v>45438</v>
      </c>
      <c r="D231" s="2" t="n">
        <v>45426</v>
      </c>
      <c r="E231" s="0" t="str">
        <f aca="false">IF(D231&lt;&gt;"","Pago","Em Aberto")</f>
        <v>Pago</v>
      </c>
      <c r="F231" s="7" t="n">
        <f aca="false">IF(B231&lt;&gt;"",B231/$B$52,"")</f>
        <v>0</v>
      </c>
    </row>
    <row r="232" customFormat="false" ht="16.5" hidden="false" customHeight="false" outlineLevel="0" collapsed="false">
      <c r="A232" s="6" t="s">
        <v>76</v>
      </c>
      <c r="B232" s="1" t="n">
        <v>0</v>
      </c>
      <c r="C232" s="2" t="n">
        <v>45438</v>
      </c>
      <c r="D232" s="2" t="n">
        <v>45426</v>
      </c>
      <c r="E232" s="0" t="str">
        <f aca="false">IF(D232&lt;&gt;"","Pago","Em Aberto")</f>
        <v>Pago</v>
      </c>
      <c r="F232" s="7" t="n">
        <f aca="false">IF(B232&lt;&gt;"",B232/$B$52,"")</f>
        <v>0</v>
      </c>
    </row>
    <row r="233" customFormat="false" ht="16.5" hidden="false" customHeight="false" outlineLevel="0" collapsed="false">
      <c r="A233" s="6" t="s">
        <v>5</v>
      </c>
      <c r="B233" s="1" t="n">
        <v>226.11</v>
      </c>
      <c r="C233" s="2" t="n">
        <v>45438</v>
      </c>
      <c r="D233" s="2" t="n">
        <v>45432</v>
      </c>
      <c r="E233" s="0" t="str">
        <f aca="false">IF(D233&lt;&gt;"","Pago","Em Aberto")</f>
        <v>Pago</v>
      </c>
      <c r="F233" s="7" t="n">
        <f aca="false">IF(B233&lt;&gt;"",B233/$B$52,"")</f>
        <v>0.12132512730258</v>
      </c>
    </row>
    <row r="234" customFormat="false" ht="16.5" hidden="false" customHeight="false" outlineLevel="0" collapsed="false">
      <c r="A234" s="6" t="s">
        <v>11</v>
      </c>
      <c r="B234" s="1" t="n">
        <v>25</v>
      </c>
      <c r="C234" s="2" t="n">
        <v>45438</v>
      </c>
      <c r="D234" s="2" t="n">
        <v>45426</v>
      </c>
      <c r="E234" s="0" t="str">
        <f aca="false">IF(D234&lt;&gt;"","Pago","Em Aberto")</f>
        <v>Pago</v>
      </c>
      <c r="F234" s="7" t="n">
        <f aca="false">IF(B234&lt;&gt;"",B234/$B$52,"")</f>
        <v>0.0134143920329243</v>
      </c>
    </row>
    <row r="235" customFormat="false" ht="16.5" hidden="false" customHeight="false" outlineLevel="0" collapsed="false">
      <c r="A235" s="6" t="s">
        <v>77</v>
      </c>
      <c r="B235" s="1" t="n">
        <v>170.45</v>
      </c>
      <c r="C235" s="2" t="n">
        <v>45441</v>
      </c>
      <c r="D235" s="2" t="n">
        <v>45432</v>
      </c>
      <c r="E235" s="0" t="str">
        <f aca="false">IF(D235&lt;&gt;"","Pago","Em Aberto")</f>
        <v>Pago</v>
      </c>
      <c r="F235" s="7" t="n">
        <f aca="false">IF(B235&lt;&gt;"",B235/$B$52,"")</f>
        <v>0.0914593248804778</v>
      </c>
    </row>
    <row r="236" customFormat="false" ht="16.5" hidden="false" customHeight="false" outlineLevel="0" collapsed="false">
      <c r="A236" s="6" t="s">
        <v>18</v>
      </c>
      <c r="B236" s="1" t="n">
        <v>8.8</v>
      </c>
      <c r="C236" s="2" t="n">
        <v>45450</v>
      </c>
      <c r="D236" s="2" t="n">
        <v>45469</v>
      </c>
      <c r="E236" s="0" t="str">
        <f aca="false">IF(D236&lt;&gt;"","Pago","Em Aberto")</f>
        <v>Pago</v>
      </c>
      <c r="F236" s="7" t="n">
        <f aca="false">IF(B236&lt;&gt;"",B236/$B$52,"")</f>
        <v>0.00472186599558935</v>
      </c>
    </row>
    <row r="237" customFormat="false" ht="15" hidden="false" customHeight="false" outlineLevel="0" collapsed="false">
      <c r="B237" s="4" t="n">
        <f aca="false">SUM(B225:B236)</f>
        <v>1051.69</v>
      </c>
      <c r="D237" s="5" t="n">
        <f aca="false">SUMIFS(B225:B236,D225:D236,"")</f>
        <v>0</v>
      </c>
    </row>
    <row r="238" customFormat="false" ht="18.75" hidden="false" customHeight="false" outlineLevel="0" collapsed="false">
      <c r="A238" s="10" t="s">
        <v>78</v>
      </c>
      <c r="B238" s="10"/>
      <c r="C238" s="10"/>
      <c r="D238" s="10"/>
      <c r="E238" s="10"/>
      <c r="F238" s="10"/>
    </row>
    <row r="239" customFormat="false" ht="16.5" hidden="false" customHeight="false" outlineLevel="0" collapsed="false">
      <c r="A239" s="6" t="s">
        <v>20</v>
      </c>
      <c r="B239" s="1" t="n">
        <v>29.39</v>
      </c>
      <c r="C239" s="2" t="n">
        <v>45448</v>
      </c>
      <c r="D239" s="2" t="n">
        <v>45448</v>
      </c>
      <c r="E239" s="0" t="str">
        <f aca="false">IF(D239&lt;&gt;"","Pago","Em Aberto")</f>
        <v>Pago</v>
      </c>
      <c r="F239" s="7" t="n">
        <f aca="false">IF(B239&lt;&gt;"",B239/$B$52,"")</f>
        <v>0.0157699592739058</v>
      </c>
    </row>
    <row r="240" customFormat="false" ht="16.5" hidden="false" customHeight="false" outlineLevel="0" collapsed="false">
      <c r="A240" s="6" t="s">
        <v>21</v>
      </c>
      <c r="B240" s="1" t="n">
        <v>300</v>
      </c>
      <c r="C240" s="2" t="n">
        <v>45453</v>
      </c>
      <c r="D240" s="2" t="n">
        <v>45455</v>
      </c>
      <c r="E240" s="0" t="str">
        <f aca="false">IF(D240&lt;&gt;"","Pago","Em Aberto")</f>
        <v>Pago</v>
      </c>
      <c r="F240" s="7" t="n">
        <f aca="false">IF(B240&lt;&gt;"",B240/$B$52,"")</f>
        <v>0.160972704395091</v>
      </c>
    </row>
    <row r="241" customFormat="false" ht="16.5" hidden="false" customHeight="false" outlineLevel="0" collapsed="false">
      <c r="A241" s="6" t="s">
        <v>31</v>
      </c>
      <c r="B241" s="1" t="n">
        <v>92.49</v>
      </c>
      <c r="C241" s="2" t="n">
        <v>45458</v>
      </c>
      <c r="D241" s="2" t="n">
        <v>45449</v>
      </c>
      <c r="E241" s="0" t="str">
        <f aca="false">IF(D241&lt;&gt;"","Pago","Em Aberto")</f>
        <v>Pago</v>
      </c>
      <c r="F241" s="7" t="n">
        <f aca="false">IF(B241&lt;&gt;"",B241/$B$52,"")</f>
        <v>0.0496278847650067</v>
      </c>
    </row>
    <row r="242" customFormat="false" ht="16.5" hidden="false" customHeight="false" outlineLevel="0" collapsed="false">
      <c r="A242" s="6" t="s">
        <v>55</v>
      </c>
      <c r="B242" s="1" t="n">
        <v>54.99</v>
      </c>
      <c r="C242" s="2" t="n">
        <v>45463</v>
      </c>
      <c r="D242" s="2" t="n">
        <v>45462</v>
      </c>
      <c r="E242" s="0" t="str">
        <f aca="false">IF(D242&lt;&gt;"","Pago","Em Aberto")</f>
        <v>Pago</v>
      </c>
      <c r="F242" s="7" t="n">
        <f aca="false">IF(B242&lt;&gt;"",B242/$B$52,"")</f>
        <v>0.0295062967156203</v>
      </c>
    </row>
    <row r="243" customFormat="false" ht="16.5" hidden="false" customHeight="false" outlineLevel="0" collapsed="false">
      <c r="A243" s="6" t="s">
        <v>13</v>
      </c>
      <c r="B243" s="1" t="n">
        <v>76.6</v>
      </c>
      <c r="C243" s="2" t="n">
        <v>45463</v>
      </c>
      <c r="D243" s="2" t="n">
        <v>45462</v>
      </c>
      <c r="E243" s="0" t="str">
        <f aca="false">IF(D243&lt;&gt;"","Pago","Em Aberto")</f>
        <v>Pago</v>
      </c>
      <c r="F243" s="7" t="n">
        <f aca="false">IF(B243&lt;&gt;"",B243/$B$52,"")</f>
        <v>0.04110169718888</v>
      </c>
    </row>
    <row r="244" customFormat="false" ht="16.5" hidden="false" customHeight="false" outlineLevel="0" collapsed="false">
      <c r="A244" s="6" t="s">
        <v>75</v>
      </c>
      <c r="B244" s="1" t="n">
        <v>0</v>
      </c>
      <c r="C244" s="2" t="n">
        <v>45468</v>
      </c>
      <c r="D244" s="2" t="n">
        <v>45449</v>
      </c>
      <c r="E244" s="0" t="str">
        <f aca="false">IF(D244&lt;&gt;"","Pago","Em Aberto")</f>
        <v>Pago</v>
      </c>
      <c r="F244" s="7" t="n">
        <f aca="false">IF(B244&lt;&gt;"",B244/$B$52,"")</f>
        <v>0</v>
      </c>
    </row>
    <row r="245" customFormat="false" ht="16.5" hidden="false" customHeight="false" outlineLevel="0" collapsed="false">
      <c r="A245" s="6" t="s">
        <v>6</v>
      </c>
      <c r="B245" s="1" t="n">
        <v>0</v>
      </c>
      <c r="C245" s="2" t="n">
        <v>45469</v>
      </c>
      <c r="D245" s="2" t="n">
        <v>45449</v>
      </c>
      <c r="E245" s="0" t="str">
        <f aca="false">IF(D245&lt;&gt;"","Pago","Em Aberto")</f>
        <v>Pago</v>
      </c>
      <c r="F245" s="7" t="n">
        <f aca="false">IF(B245&lt;&gt;"",B245/$B$52,"")</f>
        <v>0</v>
      </c>
    </row>
    <row r="246" customFormat="false" ht="16.5" hidden="false" customHeight="false" outlineLevel="0" collapsed="false">
      <c r="A246" s="6" t="s">
        <v>10</v>
      </c>
      <c r="B246" s="1" t="n">
        <v>0</v>
      </c>
      <c r="C246" s="2" t="n">
        <v>45469</v>
      </c>
      <c r="D246" s="2" t="n">
        <v>45449</v>
      </c>
      <c r="E246" s="0" t="str">
        <f aca="false">IF(D246&lt;&gt;"","Pago","Em Aberto")</f>
        <v>Pago</v>
      </c>
      <c r="F246" s="7" t="n">
        <f aca="false">IF(B246&lt;&gt;"",B246/$B$52,"")</f>
        <v>0</v>
      </c>
    </row>
    <row r="247" customFormat="false" ht="16.5" hidden="false" customHeight="false" outlineLevel="0" collapsed="false">
      <c r="A247" s="6" t="s">
        <v>5</v>
      </c>
      <c r="B247" s="1" t="n">
        <v>226.11</v>
      </c>
      <c r="C247" s="2" t="n">
        <v>45469</v>
      </c>
      <c r="D247" s="2" t="n">
        <v>45468</v>
      </c>
      <c r="E247" s="0" t="str">
        <f aca="false">IF(D247&lt;&gt;"","Pago","Em Aberto")</f>
        <v>Pago</v>
      </c>
      <c r="F247" s="7" t="n">
        <f aca="false">IF(B247&lt;&gt;"",B247/$B$52,"")</f>
        <v>0.12132512730258</v>
      </c>
    </row>
    <row r="248" customFormat="false" ht="16.5" hidden="false" customHeight="false" outlineLevel="0" collapsed="false">
      <c r="A248" s="6" t="s">
        <v>11</v>
      </c>
      <c r="B248" s="1" t="n">
        <v>63.71</v>
      </c>
      <c r="C248" s="2" t="n">
        <v>45469</v>
      </c>
      <c r="D248" s="2" t="n">
        <v>45467</v>
      </c>
      <c r="E248" s="0" t="str">
        <f aca="false">IF(D248&lt;&gt;"","Pago","Em Aberto")</f>
        <v>Pago</v>
      </c>
      <c r="F248" s="7" t="n">
        <f aca="false">IF(B248&lt;&gt;"",B248/$B$52,"")</f>
        <v>0.0341852366567042</v>
      </c>
    </row>
    <row r="249" customFormat="false" ht="16.5" hidden="false" customHeight="false" outlineLevel="0" collapsed="false">
      <c r="A249" s="6" t="s">
        <v>79</v>
      </c>
      <c r="B249" s="1" t="n">
        <v>171.51</v>
      </c>
      <c r="C249" s="2" t="n">
        <v>45472</v>
      </c>
      <c r="D249" s="2" t="n">
        <v>45469</v>
      </c>
      <c r="E249" s="0" t="str">
        <f aca="false">IF(D249&lt;&gt;"","Pago","Em Aberto")</f>
        <v>Pago</v>
      </c>
      <c r="F249" s="7" t="n">
        <f aca="false">IF(B249&lt;&gt;"",B249/$B$52,"")</f>
        <v>0.0920280951026738</v>
      </c>
    </row>
    <row r="250" customFormat="false" ht="16.5" hidden="false" customHeight="false" outlineLevel="0" collapsed="false">
      <c r="A250" s="6" t="s">
        <v>18</v>
      </c>
      <c r="B250" s="1" t="n">
        <v>8.8</v>
      </c>
      <c r="C250" s="2" t="n">
        <v>45476</v>
      </c>
      <c r="D250" s="2" t="n">
        <v>45476</v>
      </c>
      <c r="E250" s="0" t="str">
        <f aca="false">IF(D250&lt;&gt;"","Pago","Em Aberto")</f>
        <v>Pago</v>
      </c>
      <c r="F250" s="7" t="n">
        <f aca="false">IF(B250&lt;&gt;"",B250/$B$52,"")</f>
        <v>0.00472186599558935</v>
      </c>
    </row>
    <row r="251" customFormat="false" ht="15" hidden="false" customHeight="false" outlineLevel="0" collapsed="false">
      <c r="B251" s="4" t="n">
        <f aca="false">SUM(B239:B250)</f>
        <v>1023.6</v>
      </c>
      <c r="D251" s="5" t="n">
        <f aca="false">SUMIFS(B239:B250,D239:D250,"")</f>
        <v>0</v>
      </c>
    </row>
    <row r="252" customFormat="false" ht="18.75" hidden="false" customHeight="false" outlineLevel="0" collapsed="false">
      <c r="A252" s="10" t="s">
        <v>80</v>
      </c>
      <c r="B252" s="10"/>
      <c r="C252" s="10"/>
      <c r="D252" s="10"/>
      <c r="E252" s="10"/>
      <c r="F252" s="10"/>
    </row>
    <row r="253" customFormat="false" ht="16.5" hidden="false" customHeight="false" outlineLevel="0" collapsed="false">
      <c r="A253" s="6" t="s">
        <v>20</v>
      </c>
      <c r="B253" s="1" t="n">
        <v>30</v>
      </c>
      <c r="C253" s="2" t="n">
        <v>45476</v>
      </c>
      <c r="D253" s="2" t="n">
        <v>45476</v>
      </c>
      <c r="E253" s="0" t="str">
        <f aca="false">IF(D253&lt;&gt;"","Pago","Em Aberto")</f>
        <v>Pago</v>
      </c>
      <c r="F253" s="7" t="n">
        <f aca="false">IF(B253&lt;&gt;"",B253/$B$52,"")</f>
        <v>0.0160972704395091</v>
      </c>
    </row>
    <row r="254" customFormat="false" ht="16.5" hidden="false" customHeight="false" outlineLevel="0" collapsed="false">
      <c r="A254" s="6" t="s">
        <v>21</v>
      </c>
      <c r="B254" s="1" t="n">
        <v>300</v>
      </c>
      <c r="C254" s="2" t="n">
        <v>45483</v>
      </c>
      <c r="D254" s="2" t="n">
        <v>45484</v>
      </c>
      <c r="E254" s="0" t="str">
        <f aca="false">IF(D254&lt;&gt;"","Pago","Em Aberto")</f>
        <v>Pago</v>
      </c>
      <c r="F254" s="7" t="n">
        <f aca="false">IF(B254&lt;&gt;"",B254/$B$52,"")</f>
        <v>0.160972704395091</v>
      </c>
    </row>
    <row r="255" customFormat="false" ht="16.5" hidden="false" customHeight="false" outlineLevel="0" collapsed="false">
      <c r="A255" s="6" t="s">
        <v>31</v>
      </c>
      <c r="B255" s="1" t="n">
        <v>159.35</v>
      </c>
      <c r="C255" s="2" t="n">
        <v>45488</v>
      </c>
      <c r="D255" s="2" t="n">
        <v>45488</v>
      </c>
      <c r="E255" s="0" t="str">
        <f aca="false">IF(D255&lt;&gt;"","Pago","Em Aberto")</f>
        <v>Pago</v>
      </c>
      <c r="F255" s="7" t="n">
        <f aca="false">IF(B255&lt;&gt;"",B255/$B$52,"")</f>
        <v>0.0855033348178594</v>
      </c>
    </row>
    <row r="256" customFormat="false" ht="16.5" hidden="false" customHeight="false" outlineLevel="0" collapsed="false">
      <c r="A256" s="6" t="s">
        <v>55</v>
      </c>
      <c r="B256" s="1" t="n">
        <v>49.99</v>
      </c>
      <c r="C256" s="2" t="n">
        <v>45493</v>
      </c>
      <c r="D256" s="2" t="n">
        <v>45492</v>
      </c>
      <c r="E256" s="0" t="str">
        <f aca="false">IF(D256&lt;&gt;"","Pago","Em Aberto")</f>
        <v>Pago</v>
      </c>
      <c r="F256" s="7" t="n">
        <f aca="false">IF(B256&lt;&gt;"",B256/$B$52,"")</f>
        <v>0.0268234183090354</v>
      </c>
    </row>
    <row r="257" customFormat="false" ht="16.5" hidden="false" customHeight="false" outlineLevel="0" collapsed="false">
      <c r="A257" s="6" t="s">
        <v>13</v>
      </c>
      <c r="B257" s="1" t="n">
        <v>76.6</v>
      </c>
      <c r="C257" s="2" t="n">
        <v>45493</v>
      </c>
      <c r="D257" s="2" t="n">
        <v>45492</v>
      </c>
      <c r="E257" s="0" t="str">
        <f aca="false">IF(D257&lt;&gt;"","Pago","Em Aberto")</f>
        <v>Pago</v>
      </c>
      <c r="F257" s="7" t="n">
        <f aca="false">IF(B257&lt;&gt;"",B257/$B$52,"")</f>
        <v>0.04110169718888</v>
      </c>
    </row>
    <row r="258" customFormat="false" ht="16.5" hidden="false" customHeight="false" outlineLevel="0" collapsed="false">
      <c r="A258" s="6" t="s">
        <v>75</v>
      </c>
      <c r="B258" s="1" t="n">
        <v>0</v>
      </c>
      <c r="C258" s="2" t="n">
        <v>45498</v>
      </c>
      <c r="D258" s="2" t="n">
        <v>45497</v>
      </c>
      <c r="E258" s="0" t="str">
        <f aca="false">IF(D258&lt;&gt;"","Pago","Em Aberto")</f>
        <v>Pago</v>
      </c>
      <c r="F258" s="7" t="n">
        <f aca="false">IF(B258&lt;&gt;"",B258/$B$52,"")</f>
        <v>0</v>
      </c>
    </row>
    <row r="259" customFormat="false" ht="16.5" hidden="false" customHeight="false" outlineLevel="0" collapsed="false">
      <c r="A259" s="6" t="s">
        <v>6</v>
      </c>
      <c r="B259" s="1" t="n">
        <v>0</v>
      </c>
      <c r="C259" s="2" t="n">
        <v>45499</v>
      </c>
      <c r="D259" s="2" t="n">
        <v>45497</v>
      </c>
      <c r="E259" s="0" t="str">
        <f aca="false">IF(D259&lt;&gt;"","Pago","Em Aberto")</f>
        <v>Pago</v>
      </c>
      <c r="F259" s="7" t="n">
        <f aca="false">IF(B259&lt;&gt;"",B259/$B$52,"")</f>
        <v>0</v>
      </c>
    </row>
    <row r="260" customFormat="false" ht="16.5" hidden="false" customHeight="false" outlineLevel="0" collapsed="false">
      <c r="A260" s="6" t="s">
        <v>10</v>
      </c>
      <c r="B260" s="1" t="n">
        <v>0</v>
      </c>
      <c r="C260" s="2" t="n">
        <v>45499</v>
      </c>
      <c r="D260" s="2" t="n">
        <v>45497</v>
      </c>
      <c r="E260" s="0" t="str">
        <f aca="false">IF(D260&lt;&gt;"","Pago","Em Aberto")</f>
        <v>Pago</v>
      </c>
      <c r="F260" s="7" t="n">
        <f aca="false">IF(B260&lt;&gt;"",B260/$B$52,"")</f>
        <v>0</v>
      </c>
    </row>
    <row r="261" customFormat="false" ht="16.5" hidden="false" customHeight="false" outlineLevel="0" collapsed="false">
      <c r="A261" s="6" t="s">
        <v>5</v>
      </c>
      <c r="B261" s="1" t="n">
        <v>0</v>
      </c>
      <c r="C261" s="2" t="n">
        <v>45499</v>
      </c>
      <c r="D261" s="2" t="n">
        <v>45492</v>
      </c>
      <c r="E261" s="0" t="str">
        <f aca="false">IF(D261&lt;&gt;"","Pago","Em Aberto")</f>
        <v>Pago</v>
      </c>
      <c r="F261" s="7" t="n">
        <f aca="false">IF(B261&lt;&gt;"",B261/$B$52,"")</f>
        <v>0</v>
      </c>
    </row>
    <row r="262" customFormat="false" ht="16.5" hidden="false" customHeight="false" outlineLevel="0" collapsed="false">
      <c r="A262" s="6" t="s">
        <v>11</v>
      </c>
      <c r="B262" s="1" t="n">
        <v>25</v>
      </c>
      <c r="C262" s="2" t="n">
        <v>45499</v>
      </c>
      <c r="D262" s="2" t="n">
        <v>45497</v>
      </c>
      <c r="E262" s="0" t="str">
        <f aca="false">IF(D262&lt;&gt;"","Pago","Em Aberto")</f>
        <v>Pago</v>
      </c>
      <c r="F262" s="7" t="n">
        <f aca="false">IF(B262&lt;&gt;"",B262/$B$52,"")</f>
        <v>0.0134143920329243</v>
      </c>
    </row>
    <row r="263" customFormat="false" ht="16.5" hidden="false" customHeight="false" outlineLevel="0" collapsed="false">
      <c r="A263" s="6" t="s">
        <v>81</v>
      </c>
      <c r="B263" s="1" t="n">
        <v>172.53</v>
      </c>
      <c r="C263" s="2" t="n">
        <v>45502</v>
      </c>
      <c r="D263" s="2" t="n">
        <v>45498</v>
      </c>
      <c r="E263" s="0" t="str">
        <f aca="false">IF(D263&lt;&gt;"","Pago","Em Aberto")</f>
        <v>Pago</v>
      </c>
      <c r="F263" s="7" t="n">
        <f aca="false">IF(B263&lt;&gt;"",B263/$B$52,"")</f>
        <v>0.0925754022976171</v>
      </c>
    </row>
    <row r="264" customFormat="false" ht="16.5" hidden="false" customHeight="false" outlineLevel="0" collapsed="false">
      <c r="A264" s="6" t="s">
        <v>18</v>
      </c>
      <c r="B264" s="1" t="n">
        <v>8.8</v>
      </c>
      <c r="C264" s="2" t="n">
        <v>45505</v>
      </c>
      <c r="D264" s="2" t="n">
        <v>45507</v>
      </c>
      <c r="E264" s="0" t="str">
        <f aca="false">IF(D264&lt;&gt;"","Pago","Em Aberto")</f>
        <v>Pago</v>
      </c>
      <c r="F264" s="7" t="n">
        <f aca="false">IF(B264&lt;&gt;"",B264/$B$52,"")</f>
        <v>0.00472186599558935</v>
      </c>
    </row>
    <row r="265" customFormat="false" ht="15" hidden="false" customHeight="false" outlineLevel="0" collapsed="false">
      <c r="B265" s="4" t="n">
        <f aca="false">SUM(B253:B264)</f>
        <v>822.27</v>
      </c>
      <c r="D265" s="5" t="n">
        <f aca="false">SUMIFS(B253:B264,D253:D264,"")</f>
        <v>0</v>
      </c>
    </row>
    <row r="266" customFormat="false" ht="18.75" hidden="false" customHeight="false" outlineLevel="0" collapsed="false">
      <c r="A266" s="10" t="s">
        <v>82</v>
      </c>
      <c r="B266" s="10"/>
      <c r="C266" s="10"/>
      <c r="D266" s="10"/>
      <c r="E266" s="10"/>
      <c r="F266" s="10"/>
    </row>
    <row r="267" customFormat="false" ht="16.5" hidden="false" customHeight="false" outlineLevel="0" collapsed="false">
      <c r="A267" s="6" t="s">
        <v>20</v>
      </c>
      <c r="B267" s="1" t="n">
        <v>30</v>
      </c>
      <c r="C267" s="2" t="n">
        <v>45509</v>
      </c>
      <c r="D267" s="2" t="n">
        <v>45510</v>
      </c>
      <c r="E267" s="0" t="str">
        <f aca="false">IF(D267&lt;&gt;"","Pago","Em Aberto")</f>
        <v>Pago</v>
      </c>
      <c r="F267" s="7" t="n">
        <f aca="false">IF(B267&lt;&gt;"",B267/$B$52,"")</f>
        <v>0.0160972704395091</v>
      </c>
    </row>
    <row r="268" customFormat="false" ht="16.5" hidden="false" customHeight="false" outlineLevel="0" collapsed="false">
      <c r="A268" s="6" t="s">
        <v>21</v>
      </c>
      <c r="B268" s="1" t="n">
        <v>300</v>
      </c>
      <c r="C268" s="2" t="n">
        <v>45514</v>
      </c>
      <c r="D268" s="2" t="n">
        <v>45518</v>
      </c>
      <c r="E268" s="0" t="str">
        <f aca="false">IF(D268&lt;&gt;"","Pago","Em Aberto")</f>
        <v>Pago</v>
      </c>
      <c r="F268" s="7" t="n">
        <f aca="false">IF(B268&lt;&gt;"",B268/$B$52,"")</f>
        <v>0.160972704395091</v>
      </c>
    </row>
    <row r="269" customFormat="false" ht="16.5" hidden="false" customHeight="false" outlineLevel="0" collapsed="false">
      <c r="A269" s="6" t="s">
        <v>31</v>
      </c>
      <c r="B269" s="1" t="n">
        <v>147.53</v>
      </c>
      <c r="C269" s="2" t="n">
        <v>45519</v>
      </c>
      <c r="D269" s="2" t="n">
        <v>45518</v>
      </c>
      <c r="E269" s="0" t="str">
        <f aca="false">IF(D269&lt;&gt;"","Pago","Em Aberto")</f>
        <v>Pago</v>
      </c>
      <c r="F269" s="7" t="n">
        <f aca="false">IF(B269&lt;&gt;"",B269/$B$52,"")</f>
        <v>0.0791610102646928</v>
      </c>
    </row>
    <row r="270" customFormat="false" ht="16.5" hidden="false" customHeight="false" outlineLevel="0" collapsed="false">
      <c r="A270" s="6" t="s">
        <v>55</v>
      </c>
      <c r="B270" s="1" t="n">
        <v>14.99</v>
      </c>
      <c r="C270" s="2" t="n">
        <v>45524</v>
      </c>
      <c r="D270" s="2" t="n">
        <v>45518</v>
      </c>
      <c r="E270" s="0" t="str">
        <f aca="false">IF(D270&lt;&gt;"","Pago","Em Aberto")</f>
        <v>Pago</v>
      </c>
      <c r="F270" s="7" t="n">
        <f aca="false">IF(B270&lt;&gt;"",B270/$B$52,"")</f>
        <v>0.0080432694629414</v>
      </c>
    </row>
    <row r="271" customFormat="false" ht="16.5" hidden="false" customHeight="false" outlineLevel="0" collapsed="false">
      <c r="A271" s="6" t="s">
        <v>13</v>
      </c>
      <c r="B271" s="1" t="n">
        <v>76.6</v>
      </c>
      <c r="C271" s="2" t="n">
        <v>45524</v>
      </c>
      <c r="D271" s="2" t="n">
        <v>45523</v>
      </c>
      <c r="E271" s="0" t="str">
        <f aca="false">IF(D271&lt;&gt;"","Pago","Em Aberto")</f>
        <v>Pago</v>
      </c>
      <c r="F271" s="7" t="n">
        <f aca="false">IF(B271&lt;&gt;"",B271/$B$52,"")</f>
        <v>0.04110169718888</v>
      </c>
    </row>
    <row r="272" customFormat="false" ht="16.5" hidden="false" customHeight="false" outlineLevel="0" collapsed="false">
      <c r="A272" s="6" t="s">
        <v>75</v>
      </c>
      <c r="B272" s="1" t="n">
        <v>241.66</v>
      </c>
      <c r="C272" s="2" t="n">
        <v>45529</v>
      </c>
      <c r="D272" s="2" t="n">
        <v>45525</v>
      </c>
      <c r="E272" s="0" t="str">
        <f aca="false">IF(D272&lt;&gt;"","Pago","Em Aberto")</f>
        <v>Pago</v>
      </c>
      <c r="F272" s="7" t="n">
        <f aca="false">IF(B272&lt;&gt;"",B272/$B$52,"")</f>
        <v>0.129668879147059</v>
      </c>
    </row>
    <row r="273" customFormat="false" ht="16.5" hidden="false" customHeight="false" outlineLevel="0" collapsed="false">
      <c r="A273" s="6" t="s">
        <v>6</v>
      </c>
      <c r="B273" s="1" t="n">
        <v>0</v>
      </c>
      <c r="C273" s="2" t="n">
        <v>45530</v>
      </c>
      <c r="D273" s="2" t="n">
        <v>45525</v>
      </c>
      <c r="E273" s="0" t="str">
        <f aca="false">IF(D273&lt;&gt;"","Pago","Em Aberto")</f>
        <v>Pago</v>
      </c>
      <c r="F273" s="7" t="n">
        <f aca="false">IF(B273&lt;&gt;"",B273/$B$52,"")</f>
        <v>0</v>
      </c>
    </row>
    <row r="274" customFormat="false" ht="16.5" hidden="false" customHeight="false" outlineLevel="0" collapsed="false">
      <c r="A274" s="6" t="s">
        <v>10</v>
      </c>
      <c r="B274" s="1" t="n">
        <v>0</v>
      </c>
      <c r="C274" s="2" t="n">
        <v>45530</v>
      </c>
      <c r="D274" s="2" t="n">
        <v>45525</v>
      </c>
      <c r="E274" s="0" t="str">
        <f aca="false">IF(D274&lt;&gt;"","Pago","Em Aberto")</f>
        <v>Pago</v>
      </c>
      <c r="F274" s="7" t="n">
        <f aca="false">IF(B274&lt;&gt;"",B274/$B$52,"")</f>
        <v>0</v>
      </c>
    </row>
    <row r="275" customFormat="false" ht="16.5" hidden="false" customHeight="false" outlineLevel="0" collapsed="false">
      <c r="A275" s="6" t="s">
        <v>5</v>
      </c>
      <c r="B275" s="1" t="n">
        <v>0</v>
      </c>
      <c r="C275" s="2" t="n">
        <v>45530</v>
      </c>
      <c r="D275" s="2" t="n">
        <v>45525</v>
      </c>
      <c r="E275" s="0" t="str">
        <f aca="false">IF(D275&lt;&gt;"","Pago","Em Aberto")</f>
        <v>Pago</v>
      </c>
      <c r="F275" s="7" t="n">
        <f aca="false">IF(B275&lt;&gt;"",B275/$B$52,"")</f>
        <v>0</v>
      </c>
    </row>
    <row r="276" customFormat="false" ht="16.5" hidden="false" customHeight="false" outlineLevel="0" collapsed="false">
      <c r="A276" s="6" t="s">
        <v>11</v>
      </c>
      <c r="B276" s="1" t="n">
        <v>25</v>
      </c>
      <c r="C276" s="2" t="n">
        <v>45530</v>
      </c>
      <c r="D276" s="2" t="n">
        <v>45525</v>
      </c>
      <c r="E276" s="0" t="str">
        <f aca="false">IF(D276&lt;&gt;"","Pago","Em Aberto")</f>
        <v>Pago</v>
      </c>
      <c r="F276" s="7" t="n">
        <f aca="false">IF(B276&lt;&gt;"",B276/$B$52,"")</f>
        <v>0.0134143920329243</v>
      </c>
    </row>
    <row r="277" customFormat="false" ht="16.5" hidden="false" customHeight="false" outlineLevel="0" collapsed="false">
      <c r="A277" s="6" t="s">
        <v>83</v>
      </c>
      <c r="B277" s="1" t="n">
        <v>168.24</v>
      </c>
      <c r="C277" s="2" t="n">
        <v>45533</v>
      </c>
      <c r="D277" s="2" t="n">
        <v>45525</v>
      </c>
      <c r="E277" s="0" t="str">
        <f aca="false">IF(D277&lt;&gt;"","Pago","Em Aberto")</f>
        <v>Pago</v>
      </c>
      <c r="F277" s="7" t="n">
        <f aca="false">IF(B277&lt;&gt;"",B277/$B$52,"")</f>
        <v>0.0902734926247673</v>
      </c>
    </row>
    <row r="278" customFormat="false" ht="16.5" hidden="false" customHeight="false" outlineLevel="0" collapsed="false">
      <c r="A278" s="6" t="s">
        <v>18</v>
      </c>
      <c r="B278" s="1" t="n">
        <v>8.8</v>
      </c>
      <c r="C278" s="2" t="n">
        <v>45536</v>
      </c>
      <c r="D278" s="2" t="n">
        <v>45539</v>
      </c>
      <c r="E278" s="0" t="str">
        <f aca="false">IF(D278&lt;&gt;"","Pago","Em Aberto")</f>
        <v>Pago</v>
      </c>
      <c r="F278" s="7" t="n">
        <f aca="false">IF(B278&lt;&gt;"",B278/$B$52,"")</f>
        <v>0.00472186599558935</v>
      </c>
    </row>
    <row r="279" customFormat="false" ht="15" hidden="false" customHeight="false" outlineLevel="0" collapsed="false">
      <c r="B279" s="4" t="n">
        <f aca="false">SUM(B267:B278)</f>
        <v>1012.82</v>
      </c>
      <c r="D279" s="5" t="n">
        <f aca="false">SUMIFS(B267:B278,D267:D278,"")</f>
        <v>0</v>
      </c>
    </row>
    <row r="280" customFormat="false" ht="18.75" hidden="false" customHeight="false" outlineLevel="0" collapsed="false">
      <c r="A280" s="10" t="s">
        <v>84</v>
      </c>
      <c r="B280" s="10"/>
      <c r="C280" s="10"/>
      <c r="D280" s="10"/>
      <c r="E280" s="10"/>
      <c r="F280" s="10"/>
    </row>
    <row r="281" customFormat="false" ht="16.5" hidden="false" customHeight="false" outlineLevel="0" collapsed="false">
      <c r="A281" s="6" t="s">
        <v>20</v>
      </c>
      <c r="B281" s="1" t="n">
        <v>30</v>
      </c>
      <c r="C281" s="2" t="n">
        <v>45540</v>
      </c>
      <c r="D281" s="2" t="n">
        <v>45539</v>
      </c>
      <c r="E281" s="0" t="str">
        <f aca="false">IF(D281&lt;&gt;"","Pago","Em Aberto")</f>
        <v>Pago</v>
      </c>
      <c r="F281" s="7" t="n">
        <f aca="false">IF(B281&lt;&gt;"",B281/$B$52,"")</f>
        <v>0.0160972704395091</v>
      </c>
    </row>
    <row r="282" customFormat="false" ht="16.5" hidden="false" customHeight="false" outlineLevel="0" collapsed="false">
      <c r="A282" s="6" t="s">
        <v>21</v>
      </c>
      <c r="B282" s="1" t="n">
        <v>300</v>
      </c>
      <c r="C282" s="2" t="n">
        <v>45545</v>
      </c>
      <c r="D282" s="2" t="n">
        <v>45546</v>
      </c>
      <c r="E282" s="0" t="str">
        <f aca="false">IF(D282&lt;&gt;"","Pago","Em Aberto")</f>
        <v>Pago</v>
      </c>
      <c r="F282" s="7" t="n">
        <f aca="false">IF(B282&lt;&gt;"",B282/$B$52,"")</f>
        <v>0.160972704395091</v>
      </c>
    </row>
    <row r="283" customFormat="false" ht="16.5" hidden="false" customHeight="false" outlineLevel="0" collapsed="false">
      <c r="A283" s="6" t="s">
        <v>31</v>
      </c>
      <c r="B283" s="1" t="n">
        <v>0</v>
      </c>
      <c r="C283" s="2" t="n">
        <v>45550</v>
      </c>
      <c r="D283" s="2" t="n">
        <v>45546</v>
      </c>
      <c r="E283" s="0" t="str">
        <f aca="false">IF(D283&lt;&gt;"","Pago","Em Aberto")</f>
        <v>Pago</v>
      </c>
      <c r="F283" s="7" t="n">
        <f aca="false">IF(B283&lt;&gt;"",B283/$B$52,"")</f>
        <v>0</v>
      </c>
    </row>
    <row r="284" customFormat="false" ht="16.5" hidden="false" customHeight="false" outlineLevel="0" collapsed="false">
      <c r="A284" s="6" t="s">
        <v>85</v>
      </c>
      <c r="B284" s="1" t="n">
        <v>0</v>
      </c>
      <c r="C284" s="2" t="n">
        <v>45555</v>
      </c>
      <c r="D284" s="2" t="n">
        <v>45546</v>
      </c>
      <c r="E284" s="0" t="str">
        <f aca="false">IF(D284&lt;&gt;"","Pago","Em Aberto")</f>
        <v>Pago</v>
      </c>
      <c r="F284" s="7" t="n">
        <f aca="false">IF(B284&lt;&gt;"",B284/$B$52,"")</f>
        <v>0</v>
      </c>
    </row>
    <row r="285" customFormat="false" ht="16.5" hidden="false" customHeight="false" outlineLevel="0" collapsed="false">
      <c r="A285" s="6" t="s">
        <v>13</v>
      </c>
      <c r="B285" s="1" t="n">
        <v>76.6</v>
      </c>
      <c r="C285" s="2" t="n">
        <v>45555</v>
      </c>
      <c r="D285" s="2" t="n">
        <v>45554</v>
      </c>
      <c r="E285" s="0" t="str">
        <f aca="false">IF(D285&lt;&gt;"","Pago","Em Aberto")</f>
        <v>Pago</v>
      </c>
      <c r="F285" s="7" t="n">
        <f aca="false">IF(B285&lt;&gt;"",B285/$B$52,"")</f>
        <v>0.04110169718888</v>
      </c>
    </row>
    <row r="286" customFormat="false" ht="16.5" hidden="false" customHeight="false" outlineLevel="0" collapsed="false">
      <c r="A286" s="6" t="s">
        <v>75</v>
      </c>
      <c r="B286" s="1" t="n">
        <v>240</v>
      </c>
      <c r="C286" s="2" t="n">
        <v>45560</v>
      </c>
      <c r="D286" s="2" t="n">
        <v>45555</v>
      </c>
      <c r="E286" s="0" t="str">
        <f aca="false">IF(D286&lt;&gt;"","Pago","Em Aberto")</f>
        <v>Pago</v>
      </c>
      <c r="F286" s="7" t="n">
        <f aca="false">IF(B286&lt;&gt;"",B286/$B$52,"")</f>
        <v>0.128778163516073</v>
      </c>
    </row>
    <row r="287" customFormat="false" ht="16.5" hidden="false" customHeight="false" outlineLevel="0" collapsed="false">
      <c r="A287" s="6" t="s">
        <v>6</v>
      </c>
      <c r="B287" s="1" t="n">
        <v>255.49</v>
      </c>
      <c r="C287" s="2" t="n">
        <v>45561</v>
      </c>
      <c r="D287" s="2" t="n">
        <v>45554</v>
      </c>
      <c r="E287" s="0" t="str">
        <f aca="false">IF(D287&lt;&gt;"","Pago","Em Aberto")</f>
        <v>Pago</v>
      </c>
      <c r="F287" s="7" t="n">
        <f aca="false">IF(B287&lt;&gt;"",B287/$B$52,"")</f>
        <v>0.137089720819673</v>
      </c>
    </row>
    <row r="288" customFormat="false" ht="16.5" hidden="false" customHeight="false" outlineLevel="0" collapsed="false">
      <c r="A288" s="6" t="s">
        <v>10</v>
      </c>
      <c r="B288" s="1" t="n">
        <v>0</v>
      </c>
      <c r="C288" s="2" t="n">
        <v>45561</v>
      </c>
      <c r="D288" s="2" t="n">
        <v>45546</v>
      </c>
      <c r="E288" s="0" t="str">
        <f aca="false">IF(D288&lt;&gt;"","Pago","Em Aberto")</f>
        <v>Pago</v>
      </c>
      <c r="F288" s="7" t="n">
        <f aca="false">IF(B288&lt;&gt;"",B288/$B$52,"")</f>
        <v>0</v>
      </c>
    </row>
    <row r="289" customFormat="false" ht="16.5" hidden="false" customHeight="false" outlineLevel="0" collapsed="false">
      <c r="A289" s="6" t="s">
        <v>5</v>
      </c>
      <c r="B289" s="1" t="n">
        <v>0</v>
      </c>
      <c r="C289" s="2" t="n">
        <v>45561</v>
      </c>
      <c r="D289" s="2" t="n">
        <v>45546</v>
      </c>
      <c r="E289" s="0" t="str">
        <f aca="false">IF(D289&lt;&gt;"","Pago","Em Aberto")</f>
        <v>Pago</v>
      </c>
      <c r="F289" s="7" t="n">
        <f aca="false">IF(B289&lt;&gt;"",B289/$B$52,"")</f>
        <v>0</v>
      </c>
    </row>
    <row r="290" customFormat="false" ht="16.5" hidden="false" customHeight="false" outlineLevel="0" collapsed="false">
      <c r="A290" s="6" t="s">
        <v>11</v>
      </c>
      <c r="B290" s="1" t="n">
        <v>154.34</v>
      </c>
      <c r="C290" s="2" t="n">
        <v>45561</v>
      </c>
      <c r="D290" s="2" t="n">
        <v>45558</v>
      </c>
      <c r="E290" s="0" t="str">
        <f aca="false">IF(D290&lt;&gt;"","Pago","Em Aberto")</f>
        <v>Pago</v>
      </c>
      <c r="F290" s="7" t="n">
        <f aca="false">IF(B290&lt;&gt;"",B290/$B$52,"")</f>
        <v>0.0828150906544614</v>
      </c>
    </row>
    <row r="291" customFormat="false" ht="16.5" hidden="false" customHeight="false" outlineLevel="0" collapsed="false">
      <c r="A291" s="6" t="s">
        <v>86</v>
      </c>
      <c r="B291" s="1" t="n">
        <v>174.81</v>
      </c>
      <c r="C291" s="2" t="n">
        <v>45564</v>
      </c>
      <c r="D291" s="2" t="n">
        <v>45559</v>
      </c>
      <c r="E291" s="0" t="str">
        <f aca="false">IF(D291&lt;&gt;"","Pago","Em Aberto")</f>
        <v>Pago</v>
      </c>
      <c r="F291" s="7" t="n">
        <f aca="false">IF(B291&lt;&gt;"",B291/$B$52,"")</f>
        <v>0.0937987948510198</v>
      </c>
    </row>
    <row r="292" customFormat="false" ht="16.5" hidden="false" customHeight="false" outlineLevel="0" collapsed="false">
      <c r="A292" s="6" t="s">
        <v>18</v>
      </c>
      <c r="B292" s="1" t="n">
        <v>8.8</v>
      </c>
      <c r="C292" s="2" t="n">
        <v>45566</v>
      </c>
      <c r="D292" s="2" t="n">
        <v>45567</v>
      </c>
      <c r="E292" s="0" t="str">
        <f aca="false">IF(D292&lt;&gt;"","Pago","Em Aberto")</f>
        <v>Pago</v>
      </c>
      <c r="F292" s="7" t="n">
        <f aca="false">IF(B292&lt;&gt;"",B292/$B$52,"")</f>
        <v>0.00472186599558935</v>
      </c>
    </row>
    <row r="293" customFormat="false" ht="15" hidden="false" customHeight="false" outlineLevel="0" collapsed="false">
      <c r="B293" s="4" t="n">
        <f aca="false">SUM(B281:B292)</f>
        <v>1240.04</v>
      </c>
      <c r="D293" s="5" t="n">
        <f aca="false">SUMIFS(B281:B292,D281:D292,"")</f>
        <v>0</v>
      </c>
    </row>
    <row r="294" customFormat="false" ht="18.75" hidden="false" customHeight="false" outlineLevel="0" collapsed="false">
      <c r="A294" s="10" t="s">
        <v>87</v>
      </c>
      <c r="B294" s="10"/>
      <c r="C294" s="10"/>
      <c r="D294" s="10"/>
      <c r="E294" s="10"/>
      <c r="F294" s="10"/>
    </row>
    <row r="295" customFormat="false" ht="16.5" hidden="false" customHeight="false" outlineLevel="0" collapsed="false">
      <c r="A295" s="6" t="s">
        <v>20</v>
      </c>
      <c r="B295" s="1" t="n">
        <v>30</v>
      </c>
      <c r="C295" s="2" t="n">
        <v>45570</v>
      </c>
      <c r="D295" s="2" t="n">
        <v>45567</v>
      </c>
      <c r="E295" s="0" t="str">
        <f aca="false">IF(D295&lt;&gt;"","Pago","Em Aberto")</f>
        <v>Pago</v>
      </c>
      <c r="F295" s="7" t="n">
        <f aca="false">IF(B295&lt;&gt;"",B295/$B$52,"")</f>
        <v>0.0160972704395091</v>
      </c>
    </row>
    <row r="296" customFormat="false" ht="16.5" hidden="false" customHeight="false" outlineLevel="0" collapsed="false">
      <c r="A296" s="6" t="s">
        <v>21</v>
      </c>
      <c r="B296" s="1" t="n">
        <v>300</v>
      </c>
      <c r="C296" s="2" t="n">
        <v>45575</v>
      </c>
      <c r="D296" s="2" t="n">
        <v>45575</v>
      </c>
      <c r="E296" s="0" t="str">
        <f aca="false">IF(D296&lt;&gt;"","Pago","Em Aberto")</f>
        <v>Pago</v>
      </c>
      <c r="F296" s="7" t="n">
        <f aca="false">IF(B296&lt;&gt;"",B296/$B$52,"")</f>
        <v>0.160972704395091</v>
      </c>
    </row>
    <row r="297" customFormat="false" ht="16.5" hidden="false" customHeight="false" outlineLevel="0" collapsed="false">
      <c r="A297" s="6" t="s">
        <v>31</v>
      </c>
      <c r="B297" s="1" t="n">
        <v>2.5</v>
      </c>
      <c r="C297" s="2" t="n">
        <v>45580</v>
      </c>
      <c r="D297" s="2" t="n">
        <v>45579</v>
      </c>
      <c r="E297" s="0" t="str">
        <f aca="false">IF(D297&lt;&gt;"","Pago","Em Aberto")</f>
        <v>Pago</v>
      </c>
      <c r="F297" s="7" t="n">
        <f aca="false">IF(B297&lt;&gt;"",B297/$B$52,"")</f>
        <v>0.00134143920329243</v>
      </c>
    </row>
    <row r="298" customFormat="false" ht="16.5" hidden="false" customHeight="false" outlineLevel="0" collapsed="false">
      <c r="A298" s="6" t="s">
        <v>55</v>
      </c>
      <c r="B298" s="1" t="n">
        <v>0</v>
      </c>
      <c r="C298" s="2" t="n">
        <v>45585</v>
      </c>
      <c r="D298" s="2" t="n">
        <v>45586</v>
      </c>
      <c r="E298" s="0" t="str">
        <f aca="false">IF(D298&lt;&gt;"","Pago","Em Aberto")</f>
        <v>Pago</v>
      </c>
      <c r="F298" s="7" t="n">
        <f aca="false">IF(B298&lt;&gt;"",B298/$B$52,"")</f>
        <v>0</v>
      </c>
    </row>
    <row r="299" customFormat="false" ht="16.5" hidden="false" customHeight="false" outlineLevel="0" collapsed="false">
      <c r="A299" s="6" t="s">
        <v>13</v>
      </c>
      <c r="B299" s="1" t="n">
        <v>76.6</v>
      </c>
      <c r="C299" s="2" t="n">
        <v>45586</v>
      </c>
      <c r="D299" s="2" t="n">
        <v>45586</v>
      </c>
      <c r="E299" s="0" t="str">
        <f aca="false">IF(D299&lt;&gt;"","Pago","Em Aberto")</f>
        <v>Pago</v>
      </c>
      <c r="F299" s="7" t="n">
        <f aca="false">IF(B299&lt;&gt;"",B299/$B$52,"")</f>
        <v>0.04110169718888</v>
      </c>
    </row>
    <row r="300" customFormat="false" ht="16.5" hidden="false" customHeight="false" outlineLevel="0" collapsed="false">
      <c r="A300" s="6" t="s">
        <v>75</v>
      </c>
      <c r="B300" s="1" t="n">
        <v>241.66</v>
      </c>
      <c r="C300" s="2" t="n">
        <v>45590</v>
      </c>
      <c r="D300" s="2" t="n">
        <v>45588</v>
      </c>
      <c r="E300" s="0" t="str">
        <f aca="false">IF(D300&lt;&gt;"","Pago","Em Aberto")</f>
        <v>Pago</v>
      </c>
      <c r="F300" s="7" t="n">
        <f aca="false">IF(B300&lt;&gt;"",B300/$B$52,"")</f>
        <v>0.129668879147059</v>
      </c>
    </row>
    <row r="301" customFormat="false" ht="16.5" hidden="false" customHeight="false" outlineLevel="0" collapsed="false">
      <c r="A301" s="6" t="s">
        <v>6</v>
      </c>
      <c r="B301" s="1" t="n">
        <v>431.69</v>
      </c>
      <c r="C301" s="2" t="n">
        <v>45593</v>
      </c>
      <c r="D301" s="2" t="n">
        <v>45588</v>
      </c>
      <c r="E301" s="0" t="str">
        <f aca="false">IF(D301&lt;&gt;"","Pago","Em Aberto")</f>
        <v>Pago</v>
      </c>
      <c r="F301" s="7" t="n">
        <f aca="false">IF(B301&lt;&gt;"",B301/$B$52,"")</f>
        <v>0.231634355867723</v>
      </c>
    </row>
    <row r="302" customFormat="false" ht="16.5" hidden="false" customHeight="false" outlineLevel="0" collapsed="false">
      <c r="A302" s="6" t="s">
        <v>10</v>
      </c>
      <c r="B302" s="1" t="n">
        <v>0</v>
      </c>
      <c r="C302" s="2" t="n">
        <v>45591</v>
      </c>
      <c r="D302" s="2" t="n">
        <v>45588</v>
      </c>
      <c r="E302" s="0" t="str">
        <f aca="false">IF(D302&lt;&gt;"","Pago","Em Aberto")</f>
        <v>Pago</v>
      </c>
      <c r="F302" s="7" t="n">
        <f aca="false">IF(B302&lt;&gt;"",B302/$B$52,"")</f>
        <v>0</v>
      </c>
    </row>
    <row r="303" customFormat="false" ht="16.5" hidden="false" customHeight="false" outlineLevel="0" collapsed="false">
      <c r="A303" s="6" t="s">
        <v>5</v>
      </c>
      <c r="B303" s="1" t="n">
        <v>148.13</v>
      </c>
      <c r="C303" s="2" t="n">
        <v>45591</v>
      </c>
      <c r="D303" s="2" t="n">
        <v>45588</v>
      </c>
      <c r="E303" s="0" t="str">
        <f aca="false">IF(D303&lt;&gt;"","Pago","Em Aberto")</f>
        <v>Pago</v>
      </c>
      <c r="F303" s="7" t="n">
        <f aca="false">IF(B303&lt;&gt;"",B303/$B$52,"")</f>
        <v>0.079482955673483</v>
      </c>
    </row>
    <row r="304" customFormat="false" ht="16.5" hidden="false" customHeight="false" outlineLevel="0" collapsed="false">
      <c r="A304" s="6" t="s">
        <v>11</v>
      </c>
      <c r="B304" s="1" t="n">
        <v>198.17</v>
      </c>
      <c r="C304" s="2" t="n">
        <v>45591</v>
      </c>
      <c r="D304" s="2" t="n">
        <v>45588</v>
      </c>
      <c r="E304" s="0" t="str">
        <f aca="false">IF(D304&lt;&gt;"","Pago","Em Aberto")</f>
        <v>Pago</v>
      </c>
      <c r="F304" s="7" t="n">
        <f aca="false">IF(B304&lt;&gt;"",B304/$B$52,"")</f>
        <v>0.106333202766584</v>
      </c>
    </row>
    <row r="305" customFormat="false" ht="16.5" hidden="false" customHeight="false" outlineLevel="0" collapsed="false">
      <c r="A305" s="6" t="s">
        <v>88</v>
      </c>
      <c r="B305" s="1" t="n">
        <v>175.89</v>
      </c>
      <c r="C305" s="2" t="n">
        <v>45594</v>
      </c>
      <c r="D305" s="2" t="n">
        <v>45588</v>
      </c>
      <c r="E305" s="0" t="str">
        <f aca="false">IF(D305&lt;&gt;"","Pago","Em Aberto")</f>
        <v>Pago</v>
      </c>
      <c r="F305" s="7" t="n">
        <f aca="false">IF(B305&lt;&gt;"",B305/$B$52,"")</f>
        <v>0.0943782965868421</v>
      </c>
    </row>
    <row r="306" customFormat="false" ht="16.5" hidden="false" customHeight="false" outlineLevel="0" collapsed="false">
      <c r="A306" s="6" t="s">
        <v>18</v>
      </c>
      <c r="B306" s="1" t="n">
        <v>0</v>
      </c>
      <c r="C306" s="2" t="n">
        <v>45597</v>
      </c>
      <c r="D306" s="2" t="n">
        <v>45588</v>
      </c>
      <c r="E306" s="0" t="str">
        <f aca="false">IF(D306&lt;&gt;"","Pago","Em Aberto")</f>
        <v>Pago</v>
      </c>
      <c r="F306" s="7" t="n">
        <f aca="false">IF(B306&lt;&gt;"",B306/$B$52,"")</f>
        <v>0</v>
      </c>
    </row>
    <row r="307" customFormat="false" ht="15" hidden="false" customHeight="false" outlineLevel="0" collapsed="false">
      <c r="B307" s="4" t="n">
        <f aca="false">SUM(B295:B306)</f>
        <v>1604.64</v>
      </c>
      <c r="D307" s="5" t="n">
        <f aca="false">SUMIFS(B295:B306,D295:D306,"")</f>
        <v>0</v>
      </c>
    </row>
    <row r="308" customFormat="false" ht="18.75" hidden="false" customHeight="false" outlineLevel="0" collapsed="false">
      <c r="A308" s="10" t="s">
        <v>89</v>
      </c>
      <c r="B308" s="10"/>
      <c r="C308" s="10"/>
      <c r="D308" s="10"/>
      <c r="E308" s="10"/>
      <c r="F308" s="10"/>
    </row>
    <row r="309" customFormat="false" ht="16.5" hidden="false" customHeight="false" outlineLevel="0" collapsed="false">
      <c r="A309" s="6" t="s">
        <v>20</v>
      </c>
      <c r="B309" s="1" t="n">
        <v>30</v>
      </c>
      <c r="C309" s="2" t="n">
        <v>45601</v>
      </c>
      <c r="D309" s="2" t="n">
        <v>45602</v>
      </c>
      <c r="E309" s="0" t="str">
        <f aca="false">IF(D309&lt;&gt;"","Pago","Em Aberto")</f>
        <v>Pago</v>
      </c>
      <c r="F309" s="7" t="n">
        <f aca="false">IF(B309&lt;&gt;"",B309/$B$52,"")</f>
        <v>0.0160972704395091</v>
      </c>
    </row>
    <row r="310" customFormat="false" ht="16.5" hidden="false" customHeight="false" outlineLevel="0" collapsed="false">
      <c r="A310" s="6" t="s">
        <v>21</v>
      </c>
      <c r="B310" s="1" t="n">
        <v>300</v>
      </c>
      <c r="C310" s="2" t="n">
        <v>45606</v>
      </c>
      <c r="D310" s="2" t="n">
        <v>45588</v>
      </c>
      <c r="E310" s="0" t="str">
        <f aca="false">IF(D310&lt;&gt;"","Pago","Em Aberto")</f>
        <v>Pago</v>
      </c>
      <c r="F310" s="7" t="n">
        <f aca="false">IF(B310&lt;&gt;"",B310/$B$52,"")</f>
        <v>0.160972704395091</v>
      </c>
    </row>
    <row r="311" customFormat="false" ht="16.5" hidden="false" customHeight="false" outlineLevel="0" collapsed="false">
      <c r="A311" s="6" t="s">
        <v>31</v>
      </c>
      <c r="B311" s="1" t="n">
        <v>69</v>
      </c>
      <c r="C311" s="2" t="n">
        <v>45611</v>
      </c>
      <c r="D311" s="2" t="n">
        <v>45608</v>
      </c>
      <c r="E311" s="0" t="str">
        <f aca="false">IF(D311&lt;&gt;"","Pago","Em Aberto")</f>
        <v>Pago</v>
      </c>
      <c r="F311" s="7" t="n">
        <f aca="false">IF(B311&lt;&gt;"",B311/$B$52,"")</f>
        <v>0.037023722010871</v>
      </c>
    </row>
    <row r="312" customFormat="false" ht="16.5" hidden="false" customHeight="false" outlineLevel="0" collapsed="false">
      <c r="A312" s="6" t="s">
        <v>55</v>
      </c>
      <c r="B312" s="1" t="n">
        <v>0</v>
      </c>
      <c r="C312" s="2" t="n">
        <v>45616</v>
      </c>
      <c r="D312" s="2" t="n">
        <v>45608</v>
      </c>
      <c r="E312" s="0" t="str">
        <f aca="false">IF(D312&lt;&gt;"","Pago","Em Aberto")</f>
        <v>Pago</v>
      </c>
      <c r="F312" s="7" t="n">
        <f aca="false">IF(B312&lt;&gt;"",B312/$B$52,"")</f>
        <v>0</v>
      </c>
    </row>
    <row r="313" customFormat="false" ht="16.5" hidden="false" customHeight="false" outlineLevel="0" collapsed="false">
      <c r="A313" s="6" t="s">
        <v>13</v>
      </c>
      <c r="B313" s="1" t="n">
        <v>76.6</v>
      </c>
      <c r="C313" s="2" t="n">
        <v>45616</v>
      </c>
      <c r="D313" s="2" t="n">
        <v>45617</v>
      </c>
      <c r="E313" s="0" t="str">
        <f aca="false">IF(D313&lt;&gt;"","Pago","Em Aberto")</f>
        <v>Pago</v>
      </c>
      <c r="F313" s="7" t="n">
        <f aca="false">IF(B313&lt;&gt;"",B313/$B$52,"")</f>
        <v>0.04110169718888</v>
      </c>
    </row>
    <row r="314" customFormat="false" ht="16.5" hidden="false" customHeight="false" outlineLevel="0" collapsed="false">
      <c r="A314" s="6" t="s">
        <v>75</v>
      </c>
      <c r="B314" s="1" t="n">
        <v>240</v>
      </c>
      <c r="C314" s="2" t="n">
        <v>45621</v>
      </c>
      <c r="D314" s="2" t="n">
        <v>45621</v>
      </c>
      <c r="E314" s="0" t="str">
        <f aca="false">IF(D314&lt;&gt;"","Pago","Em Aberto")</f>
        <v>Pago</v>
      </c>
      <c r="F314" s="7" t="n">
        <f aca="false">IF(B314&lt;&gt;"",B314/$B$52,"")</f>
        <v>0.128778163516073</v>
      </c>
    </row>
    <row r="315" customFormat="false" ht="16.5" hidden="false" customHeight="false" outlineLevel="0" collapsed="false">
      <c r="A315" s="6" t="s">
        <v>6</v>
      </c>
      <c r="B315" s="1" t="n">
        <v>172</v>
      </c>
      <c r="C315" s="2" t="n">
        <v>45622</v>
      </c>
      <c r="D315" s="2" t="n">
        <v>45622</v>
      </c>
      <c r="E315" s="0" t="str">
        <f aca="false">IF(D315&lt;&gt;"","Pago","Em Aberto")</f>
        <v>Pago</v>
      </c>
      <c r="F315" s="7" t="n">
        <f aca="false">IF(B315&lt;&gt;"",B315/$B$52,"")</f>
        <v>0.0922910171865191</v>
      </c>
    </row>
    <row r="316" customFormat="false" ht="16.5" hidden="false" customHeight="false" outlineLevel="0" collapsed="false">
      <c r="A316" s="6" t="s">
        <v>10</v>
      </c>
      <c r="B316" s="1" t="n">
        <v>0</v>
      </c>
      <c r="C316" s="2" t="n">
        <v>45622</v>
      </c>
      <c r="D316" s="2" t="n">
        <v>45622</v>
      </c>
      <c r="E316" s="0" t="str">
        <f aca="false">IF(D316&lt;&gt;"","Pago","Em Aberto")</f>
        <v>Pago</v>
      </c>
      <c r="F316" s="7" t="n">
        <f aca="false">IF(B316&lt;&gt;"",B316/$B$52,"")</f>
        <v>0</v>
      </c>
    </row>
    <row r="317" customFormat="false" ht="16.5" hidden="false" customHeight="false" outlineLevel="0" collapsed="false">
      <c r="A317" s="6" t="s">
        <v>5</v>
      </c>
      <c r="B317" s="1" t="n">
        <v>120</v>
      </c>
      <c r="C317" s="2" t="n">
        <v>45622</v>
      </c>
      <c r="D317" s="2" t="n">
        <v>45622</v>
      </c>
      <c r="E317" s="0" t="str">
        <f aca="false">IF(D317&lt;&gt;"","Pago","Em Aberto")</f>
        <v>Pago</v>
      </c>
      <c r="F317" s="7" t="n">
        <f aca="false">IF(B317&lt;&gt;"",B317/$B$52,"")</f>
        <v>0.0643890817580366</v>
      </c>
    </row>
    <row r="318" customFormat="false" ht="16.5" hidden="false" customHeight="false" outlineLevel="0" collapsed="false">
      <c r="A318" s="6" t="s">
        <v>11</v>
      </c>
      <c r="B318" s="1" t="n">
        <v>25</v>
      </c>
      <c r="C318" s="2" t="n">
        <v>45622</v>
      </c>
      <c r="D318" s="2" t="n">
        <v>45621</v>
      </c>
      <c r="E318" s="0" t="str">
        <f aca="false">IF(D318&lt;&gt;"","Pago","Em Aberto")</f>
        <v>Pago</v>
      </c>
      <c r="F318" s="7" t="n">
        <f aca="false">IF(B318&lt;&gt;"",B318/$B$52,"")</f>
        <v>0.0134143920329243</v>
      </c>
    </row>
    <row r="319" customFormat="false" ht="16.5" hidden="false" customHeight="false" outlineLevel="0" collapsed="false">
      <c r="A319" s="6" t="s">
        <v>90</v>
      </c>
      <c r="B319" s="1" t="n">
        <v>177.09</v>
      </c>
      <c r="C319" s="2" t="n">
        <v>45625</v>
      </c>
      <c r="D319" s="2" t="n">
        <v>45624</v>
      </c>
      <c r="E319" s="0" t="str">
        <f aca="false">IF(D319&lt;&gt;"","Pago","Em Aberto")</f>
        <v>Pago</v>
      </c>
      <c r="F319" s="7" t="n">
        <f aca="false">IF(B319&lt;&gt;"",B319/$B$52,"")</f>
        <v>0.0950221874044225</v>
      </c>
    </row>
    <row r="320" customFormat="false" ht="16.5" hidden="false" customHeight="false" outlineLevel="0" collapsed="false">
      <c r="A320" s="6" t="s">
        <v>18</v>
      </c>
      <c r="B320" s="1" t="n">
        <v>8.8</v>
      </c>
      <c r="C320" s="2" t="n">
        <v>45627</v>
      </c>
      <c r="D320" s="2" t="n">
        <v>45639</v>
      </c>
      <c r="E320" s="0" t="str">
        <f aca="false">IF(D320&lt;&gt;"","Pago","Em Aberto")</f>
        <v>Pago</v>
      </c>
      <c r="F320" s="7" t="n">
        <f aca="false">IF(B320&lt;&gt;"",B320/$B$52,"")</f>
        <v>0.00472186599558935</v>
      </c>
    </row>
    <row r="321" customFormat="false" ht="15" hidden="false" customHeight="false" outlineLevel="0" collapsed="false">
      <c r="B321" s="4" t="n">
        <f aca="false">SUM(B309:B320)</f>
        <v>1218.49</v>
      </c>
      <c r="D321" s="5" t="n">
        <f aca="false">SUMIFS(B309:B320,D309:D320,"")</f>
        <v>0</v>
      </c>
    </row>
    <row r="322" customFormat="false" ht="18.75" hidden="false" customHeight="false" outlineLevel="0" collapsed="false">
      <c r="A322" s="10" t="s">
        <v>91</v>
      </c>
      <c r="B322" s="10"/>
      <c r="C322" s="10"/>
      <c r="D322" s="10"/>
      <c r="E322" s="10"/>
      <c r="F322" s="10"/>
    </row>
    <row r="323" customFormat="false" ht="16.5" hidden="false" customHeight="false" outlineLevel="0" collapsed="false">
      <c r="A323" s="6" t="s">
        <v>20</v>
      </c>
      <c r="B323" s="1" t="n">
        <v>30</v>
      </c>
      <c r="C323" s="2" t="n">
        <v>45631</v>
      </c>
      <c r="D323" s="2" t="n">
        <v>45637</v>
      </c>
      <c r="E323" s="0" t="str">
        <f aca="false">IF(D323&lt;&gt;"","Pago","Em Aberto")</f>
        <v>Pago</v>
      </c>
      <c r="F323" s="7" t="n">
        <f aca="false">IF(B323&lt;&gt;"",B323/$B$52,"")</f>
        <v>0.0160972704395091</v>
      </c>
    </row>
    <row r="324" customFormat="false" ht="16.5" hidden="false" customHeight="false" outlineLevel="0" collapsed="false">
      <c r="A324" s="6" t="s">
        <v>21</v>
      </c>
      <c r="B324" s="1" t="n">
        <v>300</v>
      </c>
      <c r="C324" s="2" t="n">
        <v>45636</v>
      </c>
      <c r="D324" s="2" t="n">
        <v>45636</v>
      </c>
      <c r="E324" s="0" t="str">
        <f aca="false">IF(D324&lt;&gt;"","Pago","Em Aberto")</f>
        <v>Pago</v>
      </c>
      <c r="F324" s="7" t="n">
        <f aca="false">IF(B324&lt;&gt;"",B324/$B$52,"")</f>
        <v>0.160972704395091</v>
      </c>
    </row>
    <row r="325" customFormat="false" ht="16.5" hidden="false" customHeight="false" outlineLevel="0" collapsed="false">
      <c r="A325" s="6" t="s">
        <v>31</v>
      </c>
      <c r="B325" s="1" t="n">
        <v>159.35</v>
      </c>
      <c r="C325" s="2" t="n">
        <v>45641</v>
      </c>
      <c r="D325" s="2" t="n">
        <v>45641</v>
      </c>
      <c r="E325" s="0" t="str">
        <f aca="false">IF(D325&lt;&gt;"","Pago","Em Aberto")</f>
        <v>Pago</v>
      </c>
      <c r="F325" s="7" t="n">
        <f aca="false">IF(B325&lt;&gt;"",B325/$B$52,"")</f>
        <v>0.0855033348178594</v>
      </c>
    </row>
    <row r="326" customFormat="false" ht="16.5" hidden="false" customHeight="false" outlineLevel="0" collapsed="false">
      <c r="A326" s="6" t="s">
        <v>55</v>
      </c>
      <c r="B326" s="1" t="n">
        <v>0</v>
      </c>
      <c r="C326" s="2" t="n">
        <v>45646</v>
      </c>
      <c r="D326" s="2" t="n">
        <v>45645</v>
      </c>
      <c r="E326" s="0" t="str">
        <f aca="false">IF(D326&lt;&gt;"","Pago","Em Aberto")</f>
        <v>Pago</v>
      </c>
      <c r="F326" s="7" t="n">
        <f aca="false">IF(B326&lt;&gt;"",B326/$B$52,"")</f>
        <v>0</v>
      </c>
    </row>
    <row r="327" customFormat="false" ht="16.5" hidden="false" customHeight="false" outlineLevel="0" collapsed="false">
      <c r="A327" s="6" t="s">
        <v>13</v>
      </c>
      <c r="B327" s="1" t="n">
        <v>76.6</v>
      </c>
      <c r="C327" s="2" t="n">
        <v>45646</v>
      </c>
      <c r="D327" s="2" t="n">
        <v>45645</v>
      </c>
      <c r="E327" s="0" t="str">
        <f aca="false">IF(D327&lt;&gt;"","Pago","Em Aberto")</f>
        <v>Pago</v>
      </c>
      <c r="F327" s="7" t="n">
        <f aca="false">IF(B327&lt;&gt;"",B327/$B$52,"")</f>
        <v>0.04110169718888</v>
      </c>
    </row>
    <row r="328" customFormat="false" ht="16.5" hidden="false" customHeight="false" outlineLevel="0" collapsed="false">
      <c r="A328" s="6" t="s">
        <v>75</v>
      </c>
      <c r="B328" s="1" t="n">
        <v>240</v>
      </c>
      <c r="C328" s="2" t="n">
        <v>45651</v>
      </c>
      <c r="D328" s="2" t="n">
        <v>45650</v>
      </c>
      <c r="E328" s="0" t="str">
        <f aca="false">IF(D328&lt;&gt;"","Pago","Em Aberto")</f>
        <v>Pago</v>
      </c>
      <c r="F328" s="7" t="n">
        <f aca="false">IF(B328&lt;&gt;"",B328/$B$52,"")</f>
        <v>0.128778163516073</v>
      </c>
    </row>
    <row r="329" customFormat="false" ht="16.5" hidden="false" customHeight="false" outlineLevel="0" collapsed="false">
      <c r="A329" s="6" t="s">
        <v>6</v>
      </c>
      <c r="B329" s="1" t="n">
        <v>0</v>
      </c>
      <c r="C329" s="2" t="n">
        <v>45652</v>
      </c>
      <c r="D329" s="2" t="n">
        <v>45651</v>
      </c>
      <c r="E329" s="0" t="str">
        <f aca="false">IF(D329&lt;&gt;"","Pago","Em Aberto")</f>
        <v>Pago</v>
      </c>
      <c r="F329" s="7" t="n">
        <f aca="false">IF(B329&lt;&gt;"",B329/$B$52,"")</f>
        <v>0</v>
      </c>
    </row>
    <row r="330" customFormat="false" ht="16.5" hidden="false" customHeight="false" outlineLevel="0" collapsed="false">
      <c r="A330" s="6" t="s">
        <v>92</v>
      </c>
      <c r="B330" s="1" t="n">
        <v>266.52</v>
      </c>
      <c r="C330" s="2" t="n">
        <v>45652</v>
      </c>
      <c r="D330" s="2" t="n">
        <v>45651</v>
      </c>
      <c r="E330" s="0" t="str">
        <f aca="false">IF(D330&lt;&gt;"","Pago","Em Aberto")</f>
        <v>Pago</v>
      </c>
      <c r="F330" s="7" t="n">
        <f aca="false">IF(B330&lt;&gt;"",B330/$B$52,"")</f>
        <v>0.143008150584599</v>
      </c>
    </row>
    <row r="331" customFormat="false" ht="16.5" hidden="false" customHeight="false" outlineLevel="0" collapsed="false">
      <c r="A331" s="6" t="s">
        <v>5</v>
      </c>
      <c r="B331" s="1" t="n">
        <v>0</v>
      </c>
      <c r="C331" s="2" t="n">
        <v>45652</v>
      </c>
      <c r="D331" s="2" t="n">
        <v>45651</v>
      </c>
      <c r="E331" s="0" t="str">
        <f aca="false">IF(D331&lt;&gt;"","Pago","Em Aberto")</f>
        <v>Pago</v>
      </c>
      <c r="F331" s="7" t="n">
        <f aca="false">IF(B331&lt;&gt;"",B331/$B$52,"")</f>
        <v>0</v>
      </c>
    </row>
    <row r="332" customFormat="false" ht="16.5" hidden="false" customHeight="false" outlineLevel="0" collapsed="false">
      <c r="A332" s="6" t="s">
        <v>11</v>
      </c>
      <c r="B332" s="1" t="n">
        <v>275</v>
      </c>
      <c r="C332" s="2" t="n">
        <v>45652</v>
      </c>
      <c r="D332" s="2" t="n">
        <v>45650</v>
      </c>
      <c r="E332" s="0" t="str">
        <f aca="false">IF(D332&lt;&gt;"","Pago","Em Aberto")</f>
        <v>Pago</v>
      </c>
      <c r="F332" s="7" t="n">
        <f aca="false">IF(B332&lt;&gt;"",B332/$B$52,"")</f>
        <v>0.147558312362167</v>
      </c>
    </row>
    <row r="333" customFormat="false" ht="16.5" hidden="false" customHeight="false" outlineLevel="0" collapsed="false">
      <c r="A333" s="6" t="s">
        <v>93</v>
      </c>
      <c r="B333" s="1" t="n">
        <v>178.1</v>
      </c>
      <c r="C333" s="2" t="n">
        <v>45656</v>
      </c>
      <c r="D333" s="2" t="n">
        <v>45653</v>
      </c>
      <c r="E333" s="0" t="str">
        <f aca="false">IF(D333&lt;&gt;"","Pago","Em Aberto")</f>
        <v>Pago</v>
      </c>
      <c r="F333" s="7" t="n">
        <f aca="false">IF(B333&lt;&gt;"",B333/$B$52,"")</f>
        <v>0.0955641288425526</v>
      </c>
    </row>
    <row r="334" customFormat="false" ht="16.5" hidden="false" customHeight="false" outlineLevel="0" collapsed="false">
      <c r="A334" s="6" t="s">
        <v>18</v>
      </c>
      <c r="B334" s="1" t="n">
        <v>8.8</v>
      </c>
      <c r="C334" s="2" t="n">
        <v>45658</v>
      </c>
      <c r="D334" s="2" t="n">
        <v>45665</v>
      </c>
      <c r="E334" s="0" t="str">
        <f aca="false">IF(D334&lt;&gt;"","Pago","Em Aberto")</f>
        <v>Pago</v>
      </c>
      <c r="F334" s="7" t="n">
        <f aca="false">IF(B334&lt;&gt;"",B334/$B$52,"")</f>
        <v>0.00472186599558935</v>
      </c>
    </row>
    <row r="335" customFormat="false" ht="15" hidden="false" customHeight="false" outlineLevel="0" collapsed="false">
      <c r="B335" s="4" t="n">
        <f aca="false">SUM(B323:B334)</f>
        <v>1534.37</v>
      </c>
      <c r="D335" s="5" t="n">
        <f aca="false">SUMIFS(B323:B334,D323:D334,"")</f>
        <v>0</v>
      </c>
    </row>
    <row r="336" customFormat="false" ht="18.75" hidden="false" customHeight="false" outlineLevel="0" collapsed="false">
      <c r="A336" s="10" t="s">
        <v>94</v>
      </c>
      <c r="B336" s="10"/>
      <c r="C336" s="10"/>
      <c r="D336" s="10"/>
      <c r="E336" s="10"/>
      <c r="F336" s="10"/>
    </row>
    <row r="337" customFormat="false" ht="16.5" hidden="false" customHeight="false" outlineLevel="0" collapsed="false">
      <c r="A337" s="6" t="s">
        <v>20</v>
      </c>
      <c r="B337" s="1" t="n">
        <v>30</v>
      </c>
      <c r="C337" s="2" t="n">
        <v>45662</v>
      </c>
      <c r="D337" s="2" t="n">
        <v>45665</v>
      </c>
      <c r="E337" s="0" t="str">
        <f aca="false">IF(D337&lt;&gt;"","Pago","Em Aberto")</f>
        <v>Pago</v>
      </c>
      <c r="F337" s="7" t="n">
        <f aca="false">IF(B337&lt;&gt;"",B337/$B$52,"")</f>
        <v>0.0160972704395091</v>
      </c>
    </row>
    <row r="338" customFormat="false" ht="16.5" hidden="false" customHeight="false" outlineLevel="0" collapsed="false">
      <c r="A338" s="6" t="s">
        <v>21</v>
      </c>
      <c r="B338" s="1" t="n">
        <v>300</v>
      </c>
      <c r="C338" s="2" t="n">
        <v>45667</v>
      </c>
      <c r="D338" s="2" t="n">
        <v>45684</v>
      </c>
      <c r="E338" s="0" t="str">
        <f aca="false">IF(D338&lt;&gt;"","Pago","Em Aberto")</f>
        <v>Pago</v>
      </c>
      <c r="F338" s="7" t="n">
        <f aca="false">IF(B338&lt;&gt;"",B338/$B$52,"")</f>
        <v>0.160972704395091</v>
      </c>
    </row>
    <row r="339" customFormat="false" ht="16.5" hidden="false" customHeight="false" outlineLevel="0" collapsed="false">
      <c r="A339" s="6" t="s">
        <v>31</v>
      </c>
      <c r="B339" s="1" t="n">
        <v>100.8</v>
      </c>
      <c r="C339" s="2" t="n">
        <v>45672</v>
      </c>
      <c r="D339" s="2" t="n">
        <v>45672</v>
      </c>
      <c r="E339" s="0" t="str">
        <f aca="false">IF(D339&lt;&gt;"","Pago","Em Aberto")</f>
        <v>Pago</v>
      </c>
      <c r="F339" s="7" t="n">
        <f aca="false">IF(B339&lt;&gt;"",B339/$B$52,"")</f>
        <v>0.0540868286767507</v>
      </c>
    </row>
    <row r="340" customFormat="false" ht="16.5" hidden="false" customHeight="false" outlineLevel="0" collapsed="false">
      <c r="A340" s="6" t="s">
        <v>55</v>
      </c>
      <c r="B340" s="1" t="n">
        <v>0</v>
      </c>
      <c r="C340" s="2" t="n">
        <v>45677</v>
      </c>
      <c r="D340" s="2" t="n">
        <v>45677</v>
      </c>
      <c r="E340" s="0" t="str">
        <f aca="false">IF(D340&lt;&gt;"","Pago","Em Aberto")</f>
        <v>Pago</v>
      </c>
      <c r="F340" s="7" t="n">
        <f aca="false">IF(B340&lt;&gt;"",B340/$B$52,"")</f>
        <v>0</v>
      </c>
    </row>
    <row r="341" customFormat="false" ht="16.5" hidden="false" customHeight="false" outlineLevel="0" collapsed="false">
      <c r="A341" s="6" t="s">
        <v>13</v>
      </c>
      <c r="B341" s="1" t="n">
        <v>76.6</v>
      </c>
      <c r="C341" s="2" t="n">
        <v>45677</v>
      </c>
      <c r="D341" s="2" t="n">
        <v>45677</v>
      </c>
      <c r="E341" s="0" t="str">
        <f aca="false">IF(D341&lt;&gt;"","Pago","Em Aberto")</f>
        <v>Pago</v>
      </c>
      <c r="F341" s="7" t="n">
        <f aca="false">IF(B341&lt;&gt;"",B341/$B$52,"")</f>
        <v>0.04110169718888</v>
      </c>
    </row>
    <row r="342" customFormat="false" ht="16.5" hidden="false" customHeight="false" outlineLevel="0" collapsed="false">
      <c r="A342" s="6" t="s">
        <v>75</v>
      </c>
      <c r="B342" s="1" t="n">
        <v>0</v>
      </c>
      <c r="C342" s="2" t="n">
        <v>45682</v>
      </c>
      <c r="D342" s="2" t="n">
        <v>45684</v>
      </c>
      <c r="E342" s="0" t="str">
        <f aca="false">IF(D342&lt;&gt;"","Pago","Em Aberto")</f>
        <v>Pago</v>
      </c>
      <c r="F342" s="7" t="n">
        <f aca="false">IF(B342&lt;&gt;"",B342/$B$52,"")</f>
        <v>0</v>
      </c>
    </row>
    <row r="343" customFormat="false" ht="16.5" hidden="false" customHeight="false" outlineLevel="0" collapsed="false">
      <c r="A343" s="6" t="s">
        <v>6</v>
      </c>
      <c r="B343" s="1" t="n">
        <v>128.96</v>
      </c>
      <c r="C343" s="2" t="n">
        <v>45683</v>
      </c>
      <c r="D343" s="2" t="n">
        <v>45684</v>
      </c>
      <c r="E343" s="0" t="str">
        <f aca="false">IF(D343&lt;&gt;"","Pago","Em Aberto")</f>
        <v>Pago</v>
      </c>
      <c r="F343" s="7" t="n">
        <f aca="false">IF(B343&lt;&gt;"",B343/$B$52,"")</f>
        <v>0.0691967998626366</v>
      </c>
    </row>
    <row r="344" customFormat="false" ht="16.5" hidden="false" customHeight="false" outlineLevel="0" collapsed="false">
      <c r="A344" s="6" t="s">
        <v>95</v>
      </c>
      <c r="B344" s="1" t="n">
        <v>266.94</v>
      </c>
      <c r="C344" s="2" t="n">
        <v>45683</v>
      </c>
      <c r="D344" s="2" t="n">
        <v>45684</v>
      </c>
      <c r="E344" s="0" t="str">
        <f aca="false">IF(D344&lt;&gt;"","Pago","Em Aberto")</f>
        <v>Pago</v>
      </c>
      <c r="F344" s="7" t="n">
        <f aca="false">IF(B344&lt;&gt;"",B344/$B$52,"")</f>
        <v>0.143233512370752</v>
      </c>
    </row>
    <row r="345" customFormat="false" ht="16.5" hidden="false" customHeight="false" outlineLevel="0" collapsed="false">
      <c r="A345" s="6" t="s">
        <v>5</v>
      </c>
      <c r="B345" s="1" t="n">
        <v>0</v>
      </c>
      <c r="C345" s="2" t="n">
        <v>45683</v>
      </c>
      <c r="D345" s="2" t="n">
        <v>45684</v>
      </c>
      <c r="E345" s="0" t="str">
        <f aca="false">IF(D345&lt;&gt;"","Pago","Em Aberto")</f>
        <v>Pago</v>
      </c>
      <c r="F345" s="7" t="n">
        <f aca="false">IF(B345&lt;&gt;"",B345/$B$52,"")</f>
        <v>0</v>
      </c>
    </row>
    <row r="346" customFormat="false" ht="16.5" hidden="false" customHeight="false" outlineLevel="0" collapsed="false">
      <c r="A346" s="6" t="s">
        <v>96</v>
      </c>
      <c r="B346" s="1" t="n">
        <v>239.89</v>
      </c>
      <c r="C346" s="2" t="n">
        <v>45683</v>
      </c>
      <c r="D346" s="2" t="n">
        <v>45684</v>
      </c>
      <c r="E346" s="0" t="str">
        <f aca="false">IF(D346&lt;&gt;"","Pago","Em Aberto")</f>
        <v>Pago</v>
      </c>
      <c r="F346" s="7" t="n">
        <f aca="false">IF(B346&lt;&gt;"",B346/$B$52,"")</f>
        <v>0.128719140191128</v>
      </c>
    </row>
    <row r="347" customFormat="false" ht="16.5" hidden="false" customHeight="false" outlineLevel="0" collapsed="false">
      <c r="A347" s="6" t="s">
        <v>97</v>
      </c>
      <c r="B347" s="1" t="n">
        <v>179.3</v>
      </c>
      <c r="C347" s="2" t="n">
        <v>45688</v>
      </c>
      <c r="D347" s="2" t="n">
        <v>45687</v>
      </c>
      <c r="E347" s="0" t="str">
        <f aca="false">IF(D347&lt;&gt;"","Pago","Em Aberto")</f>
        <v>Pago</v>
      </c>
      <c r="F347" s="7" t="n">
        <f aca="false">IF(B347&lt;&gt;"",B347/$B$52,"")</f>
        <v>0.096208019660133</v>
      </c>
    </row>
    <row r="348" customFormat="false" ht="16.5" hidden="false" customHeight="false" outlineLevel="0" collapsed="false">
      <c r="A348" s="6" t="s">
        <v>18</v>
      </c>
      <c r="B348" s="1" t="n">
        <v>8.8</v>
      </c>
      <c r="C348" s="2" t="n">
        <v>45689</v>
      </c>
      <c r="D348" s="2"/>
      <c r="E348" s="0" t="str">
        <f aca="false">IF(D348&lt;&gt;"","Pago","Em Aberto")</f>
        <v>Em Aberto</v>
      </c>
      <c r="F348" s="7" t="n">
        <f aca="false">IF(B348&lt;&gt;"",B348/$B$52,"")</f>
        <v>0.00472186599558935</v>
      </c>
    </row>
    <row r="349" customFormat="false" ht="15" hidden="false" customHeight="false" outlineLevel="0" collapsed="false">
      <c r="B349" s="4" t="n">
        <f aca="false">SUM(B337:B348)</f>
        <v>1331.29</v>
      </c>
      <c r="D349" s="5" t="n">
        <f aca="false">SUMIFS(B337:B348,D337:D348,"")</f>
        <v>8.8</v>
      </c>
    </row>
    <row r="350" customFormat="false" ht="18.75" hidden="false" customHeight="false" outlineLevel="0" collapsed="false">
      <c r="A350" s="10" t="s">
        <v>98</v>
      </c>
      <c r="B350" s="10"/>
      <c r="C350" s="10"/>
      <c r="D350" s="10"/>
      <c r="E350" s="10"/>
      <c r="F350" s="10"/>
    </row>
    <row r="351" customFormat="false" ht="16.5" hidden="false" customHeight="false" outlineLevel="0" collapsed="false">
      <c r="A351" s="6" t="s">
        <v>20</v>
      </c>
      <c r="B351" s="1" t="n">
        <v>73.83</v>
      </c>
      <c r="C351" s="2" t="n">
        <v>45707</v>
      </c>
      <c r="D351" s="2" t="n">
        <v>45706</v>
      </c>
      <c r="E351" s="0" t="str">
        <f aca="false">IF(D351&lt;&gt;"","Pago","Em Aberto")</f>
        <v>Pago</v>
      </c>
      <c r="F351" s="7" t="n">
        <f aca="false">IF(B351&lt;&gt;"",B351/$B$52,"")</f>
        <v>0.039615382551632</v>
      </c>
    </row>
    <row r="352" customFormat="false" ht="16.5" hidden="false" customHeight="false" outlineLevel="0" collapsed="false">
      <c r="A352" s="6" t="s">
        <v>21</v>
      </c>
      <c r="B352" s="1" t="n">
        <v>450</v>
      </c>
      <c r="C352" s="2" t="n">
        <v>45698</v>
      </c>
      <c r="D352" s="2" t="n">
        <v>45698</v>
      </c>
      <c r="E352" s="0" t="str">
        <f aca="false">IF(D352&lt;&gt;"","Pago","Em Aberto")</f>
        <v>Pago</v>
      </c>
      <c r="F352" s="7" t="n">
        <f aca="false">IF(B352&lt;&gt;"",B352/$B$52,"")</f>
        <v>0.241459056592637</v>
      </c>
    </row>
    <row r="353" customFormat="false" ht="16.5" hidden="false" customHeight="false" outlineLevel="0" collapsed="false">
      <c r="A353" s="6" t="s">
        <v>31</v>
      </c>
      <c r="B353" s="1" t="n">
        <v>137</v>
      </c>
      <c r="C353" s="2" t="n">
        <v>45703</v>
      </c>
      <c r="D353" s="2" t="n">
        <v>45695</v>
      </c>
      <c r="E353" s="0" t="str">
        <f aca="false">IF(D353&lt;&gt;"","Pago","Em Aberto")</f>
        <v>Pago</v>
      </c>
      <c r="F353" s="7" t="n">
        <f aca="false">IF(B353&lt;&gt;"",B353/$B$52,"")</f>
        <v>0.0735108683404251</v>
      </c>
    </row>
    <row r="354" customFormat="false" ht="16.5" hidden="false" customHeight="false" outlineLevel="0" collapsed="false">
      <c r="A354" s="6" t="s">
        <v>55</v>
      </c>
      <c r="B354" s="1" t="n">
        <v>0</v>
      </c>
      <c r="C354" s="2" t="n">
        <v>45708</v>
      </c>
      <c r="D354" s="2" t="n">
        <v>45701</v>
      </c>
      <c r="E354" s="0" t="str">
        <f aca="false">IF(D354&lt;&gt;"","Pago","Em Aberto")</f>
        <v>Pago</v>
      </c>
      <c r="F354" s="12" t="n">
        <f aca="false">IF(B354&lt;&gt;"",B354/$B$52,"")</f>
        <v>0</v>
      </c>
    </row>
    <row r="355" customFormat="false" ht="16.5" hidden="false" customHeight="false" outlineLevel="0" collapsed="false">
      <c r="A355" s="6" t="s">
        <v>13</v>
      </c>
      <c r="B355" s="1" t="n">
        <v>81.9</v>
      </c>
      <c r="C355" s="2" t="n">
        <v>45708</v>
      </c>
      <c r="D355" s="2" t="n">
        <v>45707</v>
      </c>
      <c r="E355" s="0" t="str">
        <f aca="false">IF(D355&lt;&gt;"","Pago","Em Aberto")</f>
        <v>Pago</v>
      </c>
      <c r="F355" s="7" t="n">
        <f aca="false">IF(B355&lt;&gt;"",B355/$B$52,"")</f>
        <v>0.04394554829986</v>
      </c>
    </row>
    <row r="356" customFormat="false" ht="16.5" hidden="false" customHeight="false" outlineLevel="0" collapsed="false">
      <c r="A356" s="6" t="s">
        <v>75</v>
      </c>
      <c r="B356" s="1" t="n">
        <v>0</v>
      </c>
      <c r="C356" s="2" t="n">
        <v>45713</v>
      </c>
      <c r="D356" s="2" t="n">
        <v>45701</v>
      </c>
      <c r="E356" s="0" t="str">
        <f aca="false">IF(D356&lt;&gt;"","Pago","Em Aberto")</f>
        <v>Pago</v>
      </c>
      <c r="F356" s="7" t="n">
        <f aca="false">IF(B356&lt;&gt;"",B356/$B$52,"")</f>
        <v>0</v>
      </c>
    </row>
    <row r="357" customFormat="false" ht="16.5" hidden="false" customHeight="false" outlineLevel="0" collapsed="false">
      <c r="A357" s="6" t="s">
        <v>6</v>
      </c>
      <c r="B357" s="1" t="n">
        <v>180.58</v>
      </c>
      <c r="C357" s="2" t="n">
        <v>45714</v>
      </c>
      <c r="D357" s="2" t="n">
        <v>45712</v>
      </c>
      <c r="E357" s="0" t="str">
        <f aca="false">IF(D357&lt;&gt;"","Pago","Em Aberto")</f>
        <v>Pago</v>
      </c>
      <c r="F357" s="7" t="n">
        <f aca="false">IF(B357&lt;&gt;"",B357/$B$52,"")</f>
        <v>0.0968948365322187</v>
      </c>
    </row>
    <row r="358" customFormat="false" ht="16.5" hidden="false" customHeight="false" outlineLevel="0" collapsed="false">
      <c r="A358" s="6" t="s">
        <v>99</v>
      </c>
      <c r="B358" s="1" t="n">
        <v>146.52</v>
      </c>
      <c r="C358" s="2" t="n">
        <v>45702</v>
      </c>
      <c r="D358" s="2" t="n">
        <v>45699</v>
      </c>
      <c r="E358" s="0" t="str">
        <f aca="false">IF(D358&lt;&gt;"","Pago","Em Aberto")</f>
        <v>Pago</v>
      </c>
      <c r="F358" s="7" t="n">
        <f aca="false">IF(B358&lt;&gt;"",B358/$B$52,"")</f>
        <v>0.0786190688265626</v>
      </c>
    </row>
    <row r="359" customFormat="false" ht="16.5" hidden="false" customHeight="false" outlineLevel="0" collapsed="false">
      <c r="A359" s="6" t="s">
        <v>5</v>
      </c>
      <c r="B359" s="1" t="n">
        <v>149.78</v>
      </c>
      <c r="C359" s="2" t="n">
        <v>45714</v>
      </c>
      <c r="D359" s="2" t="n">
        <v>45713</v>
      </c>
      <c r="E359" s="0" t="str">
        <f aca="false">IF(D359&lt;&gt;"","Pago","Em Aberto")</f>
        <v>Pago</v>
      </c>
      <c r="F359" s="7" t="n">
        <f aca="false">IF(B359&lt;&gt;"",B359/$B$52,"")</f>
        <v>0.080368305547656</v>
      </c>
    </row>
    <row r="360" customFormat="false" ht="16.5" hidden="false" customHeight="false" outlineLevel="0" collapsed="false">
      <c r="A360" s="6" t="s">
        <v>100</v>
      </c>
      <c r="B360" s="1" t="n">
        <v>224.84</v>
      </c>
      <c r="C360" s="2" t="n">
        <v>45714</v>
      </c>
      <c r="D360" s="2" t="n">
        <v>45712</v>
      </c>
      <c r="E360" s="0" t="str">
        <f aca="false">IF(D360&lt;&gt;"","Pago","Em Aberto")</f>
        <v>Pago</v>
      </c>
      <c r="F360" s="7" t="n">
        <f aca="false">IF(B360&lt;&gt;"",B360/$B$52,"")</f>
        <v>0.120643676187308</v>
      </c>
    </row>
    <row r="361" customFormat="false" ht="16.5" hidden="false" customHeight="false" outlineLevel="0" collapsed="false">
      <c r="A361" s="6" t="s">
        <v>101</v>
      </c>
      <c r="B361" s="1" t="n">
        <v>180.59</v>
      </c>
      <c r="C361" s="2" t="n">
        <v>45716</v>
      </c>
      <c r="D361" s="2" t="n">
        <v>45713</v>
      </c>
      <c r="E361" s="0" t="str">
        <f aca="false">IF(D361&lt;&gt;"","Pago","Em Aberto")</f>
        <v>Pago</v>
      </c>
      <c r="F361" s="7" t="n">
        <f aca="false">IF(B361&lt;&gt;"",B361/$B$52,"")</f>
        <v>0.0969002022890319</v>
      </c>
    </row>
    <row r="362" customFormat="false" ht="16.5" hidden="false" customHeight="false" outlineLevel="0" collapsed="false">
      <c r="A362" s="6" t="s">
        <v>18</v>
      </c>
      <c r="B362" s="1" t="n">
        <v>25</v>
      </c>
      <c r="C362" s="2" t="n">
        <v>45689</v>
      </c>
      <c r="D362" s="2" t="n">
        <v>45722</v>
      </c>
      <c r="E362" s="0" t="str">
        <f aca="false">IF(D362&lt;&gt;"","Pago","Em Aberto")</f>
        <v>Pago</v>
      </c>
      <c r="F362" s="7" t="n">
        <f aca="false">IF(B362&lt;&gt;"",B362/$B$52,"")</f>
        <v>0.0134143920329243</v>
      </c>
    </row>
    <row r="363" customFormat="false" ht="15" hidden="false" customHeight="false" outlineLevel="0" collapsed="false">
      <c r="B363" s="4" t="n">
        <f aca="false">SUM(B351:B362)</f>
        <v>1650.04</v>
      </c>
      <c r="D363" s="5" t="n">
        <f aca="false">SUMIFS(B351:B362,D351:D362,"")</f>
        <v>0</v>
      </c>
    </row>
    <row r="364" customFormat="false" ht="18.75" hidden="false" customHeight="false" outlineLevel="0" collapsed="false">
      <c r="A364" s="10" t="s">
        <v>102</v>
      </c>
      <c r="B364" s="10"/>
      <c r="C364" s="10"/>
      <c r="D364" s="10"/>
      <c r="E364" s="10"/>
      <c r="F364" s="10"/>
    </row>
    <row r="365" customFormat="false" ht="16.5" hidden="false" customHeight="false" outlineLevel="0" collapsed="false">
      <c r="A365" s="6" t="s">
        <v>20</v>
      </c>
      <c r="B365" s="1" t="n">
        <v>30</v>
      </c>
      <c r="C365" s="2" t="n">
        <v>45752</v>
      </c>
      <c r="D365" s="2"/>
      <c r="E365" s="0" t="str">
        <f aca="false">IF(D365&lt;&gt;"","Pago","Em Aberto")</f>
        <v>Em Aberto</v>
      </c>
      <c r="F365" s="7" t="n">
        <f aca="false">IF(B365&lt;&gt;"",B365/$B$52,"")</f>
        <v>0.0160972704395091</v>
      </c>
    </row>
    <row r="366" customFormat="false" ht="16.5" hidden="false" customHeight="false" outlineLevel="0" collapsed="false">
      <c r="A366" s="6" t="s">
        <v>21</v>
      </c>
      <c r="B366" s="1" t="n">
        <v>450</v>
      </c>
      <c r="C366" s="2" t="n">
        <v>45726</v>
      </c>
      <c r="D366" s="2" t="n">
        <v>45727</v>
      </c>
      <c r="E366" s="0" t="str">
        <f aca="false">IF(D366&lt;&gt;"","Pago","Em Aberto")</f>
        <v>Pago</v>
      </c>
      <c r="F366" s="7" t="n">
        <f aca="false">IF(B366&lt;&gt;"",B366/$B$52,"")</f>
        <v>0.241459056592637</v>
      </c>
    </row>
    <row r="367" customFormat="false" ht="16.5" hidden="false" customHeight="false" outlineLevel="0" collapsed="false">
      <c r="A367" s="6" t="s">
        <v>31</v>
      </c>
      <c r="B367" s="1" t="n">
        <v>0</v>
      </c>
      <c r="C367" s="2" t="n">
        <v>45731</v>
      </c>
      <c r="D367" s="2" t="n">
        <v>45730</v>
      </c>
      <c r="E367" s="0" t="str">
        <f aca="false">IF(D367&lt;&gt;"","Pago","Em Aberto")</f>
        <v>Pago</v>
      </c>
      <c r="F367" s="7" t="n">
        <f aca="false">IF(B367&lt;&gt;"",B367/$B$52,"")</f>
        <v>0</v>
      </c>
    </row>
    <row r="368" customFormat="false" ht="16.5" hidden="false" customHeight="false" outlineLevel="0" collapsed="false">
      <c r="A368" s="6" t="s">
        <v>13</v>
      </c>
      <c r="B368" s="1" t="n">
        <v>125.49</v>
      </c>
      <c r="C368" s="2" t="n">
        <v>45736</v>
      </c>
      <c r="D368" s="2" t="n">
        <v>45734</v>
      </c>
      <c r="E368" s="0" t="str">
        <f aca="false">IF(D368&lt;&gt;"","Pago","Em Aberto")</f>
        <v>Pago</v>
      </c>
      <c r="F368" s="7" t="n">
        <f aca="false">IF(B368&lt;&gt;"",B368/$B$52,"")</f>
        <v>0.0673348822484667</v>
      </c>
    </row>
    <row r="369" customFormat="false" ht="16.5" hidden="false" customHeight="false" outlineLevel="0" collapsed="false">
      <c r="A369" s="6" t="s">
        <v>75</v>
      </c>
      <c r="B369" s="1" t="n">
        <v>263.89</v>
      </c>
      <c r="C369" s="2" t="n">
        <v>45741</v>
      </c>
      <c r="D369" s="2" t="n">
        <v>45737</v>
      </c>
      <c r="E369" s="0" t="str">
        <f aca="false">IF(D369&lt;&gt;"","Pago","Em Aberto")</f>
        <v>Pago</v>
      </c>
      <c r="F369" s="7" t="n">
        <f aca="false">IF(B369&lt;&gt;"",B369/$B$52,"")</f>
        <v>0.141596956542736</v>
      </c>
    </row>
    <row r="370" customFormat="false" ht="16.5" hidden="false" customHeight="false" outlineLevel="0" collapsed="false">
      <c r="A370" s="6" t="s">
        <v>6</v>
      </c>
      <c r="B370" s="1" t="n">
        <v>379.26</v>
      </c>
      <c r="C370" s="2" t="n">
        <v>45742</v>
      </c>
      <c r="D370" s="2" t="n">
        <v>45741</v>
      </c>
      <c r="E370" s="0" t="str">
        <f aca="false">IF(D370&lt;&gt;"","Pago","Em Aberto")</f>
        <v>Pago</v>
      </c>
      <c r="F370" s="7" t="n">
        <f aca="false">IF(B370&lt;&gt;"",B370/$B$52,"")</f>
        <v>0.203501692896274</v>
      </c>
    </row>
    <row r="371" customFormat="false" ht="16.5" hidden="false" customHeight="false" outlineLevel="0" collapsed="false">
      <c r="A371" s="6" t="s">
        <v>103</v>
      </c>
      <c r="B371" s="1" t="n">
        <v>266.52</v>
      </c>
      <c r="C371" s="2" t="n">
        <v>45730</v>
      </c>
      <c r="D371" s="2" t="n">
        <v>45727</v>
      </c>
      <c r="E371" s="0" t="str">
        <f aca="false">IF(D371&lt;&gt;"","Pago","Em Aberto")</f>
        <v>Pago</v>
      </c>
      <c r="F371" s="7" t="n">
        <f aca="false">IF(B371&lt;&gt;"",B371/$B$52,"")</f>
        <v>0.143008150584599</v>
      </c>
    </row>
    <row r="372" customFormat="false" ht="16.5" hidden="false" customHeight="false" outlineLevel="0" collapsed="false">
      <c r="A372" s="6" t="s">
        <v>5</v>
      </c>
      <c r="B372" s="1" t="n">
        <v>675</v>
      </c>
      <c r="C372" s="2" t="n">
        <v>45742</v>
      </c>
      <c r="D372" s="2" t="n">
        <v>45738</v>
      </c>
      <c r="E372" s="0" t="str">
        <f aca="false">IF(D372&lt;&gt;"","Pago","Em Aberto")</f>
        <v>Pago</v>
      </c>
      <c r="F372" s="7" t="n">
        <f aca="false">IF(B372&lt;&gt;"",B372/$B$52,"")</f>
        <v>0.362188584888956</v>
      </c>
    </row>
    <row r="373" customFormat="false" ht="16.5" hidden="false" customHeight="false" outlineLevel="0" collapsed="false">
      <c r="A373" s="6" t="s">
        <v>104</v>
      </c>
      <c r="B373" s="1" t="n">
        <v>224.84</v>
      </c>
      <c r="C373" s="2" t="n">
        <v>45742</v>
      </c>
      <c r="D373" s="2" t="n">
        <v>45737</v>
      </c>
      <c r="E373" s="0" t="str">
        <f aca="false">IF(D373&lt;&gt;"","Pago","Em Aberto")</f>
        <v>Pago</v>
      </c>
      <c r="F373" s="7" t="n">
        <f aca="false">IF(B373&lt;&gt;"",B373/$B$52,"")</f>
        <v>0.120643676187308</v>
      </c>
    </row>
    <row r="374" customFormat="false" ht="16.5" hidden="false" customHeight="false" outlineLevel="0" collapsed="false">
      <c r="A374" s="6" t="s">
        <v>105</v>
      </c>
      <c r="B374" s="1" t="n">
        <v>181.86</v>
      </c>
      <c r="C374" s="2" t="n">
        <v>45744</v>
      </c>
      <c r="D374" s="2" t="n">
        <v>45744</v>
      </c>
      <c r="E374" s="0" t="str">
        <f aca="false">IF(D374&lt;&gt;"","Pago","Em Aberto")</f>
        <v>Pago</v>
      </c>
      <c r="F374" s="7" t="n">
        <f aca="false">IF(B374&lt;&gt;"",B374/$B$52,"")</f>
        <v>0.0975816534043044</v>
      </c>
    </row>
    <row r="375" customFormat="false" ht="16.5" hidden="false" customHeight="false" outlineLevel="0" collapsed="false">
      <c r="A375" s="6" t="s">
        <v>18</v>
      </c>
      <c r="B375" s="1" t="n">
        <v>8.8</v>
      </c>
      <c r="C375" s="2" t="n">
        <v>45689</v>
      </c>
      <c r="D375" s="2"/>
      <c r="E375" s="0" t="str">
        <f aca="false">IF(D375&lt;&gt;"","Pago","Em Aberto")</f>
        <v>Em Aberto</v>
      </c>
      <c r="F375" s="7" t="n">
        <f aca="false">IF(B375&lt;&gt;"",B375/$B$52,"")</f>
        <v>0.00472186599558935</v>
      </c>
    </row>
    <row r="376" customFormat="false" ht="15" hidden="false" customHeight="false" outlineLevel="0" collapsed="false">
      <c r="B376" s="4" t="n">
        <f aca="false">SUM(B365:B375)</f>
        <v>2605.66</v>
      </c>
      <c r="D376" s="5" t="n">
        <f aca="false">SUMIFS(B365:B375,D365:D375,"")</f>
        <v>38.8</v>
      </c>
    </row>
    <row r="377" customFormat="false" ht="18.75" hidden="false" customHeight="false" outlineLevel="0" collapsed="false">
      <c r="A377" s="10" t="s">
        <v>106</v>
      </c>
      <c r="B377" s="10"/>
      <c r="C377" s="10"/>
      <c r="D377" s="10"/>
      <c r="E377" s="10"/>
      <c r="F377" s="10"/>
    </row>
    <row r="378" customFormat="false" ht="16.5" hidden="false" customHeight="false" outlineLevel="0" collapsed="false">
      <c r="A378" s="6" t="s">
        <v>20</v>
      </c>
      <c r="B378" s="1" t="n">
        <v>33.92</v>
      </c>
      <c r="C378" s="2" t="n">
        <v>45764</v>
      </c>
      <c r="D378" s="2" t="n">
        <v>45764</v>
      </c>
      <c r="E378" s="0" t="str">
        <f aca="false">IF(D378&lt;&gt;"","Pago","Em Aberto")</f>
        <v>Pago</v>
      </c>
      <c r="F378" s="7" t="n">
        <f aca="false">IF(B378&lt;&gt;"",B378/$B$52,"")</f>
        <v>0.0182006471102717</v>
      </c>
    </row>
    <row r="379" customFormat="false" ht="16.5" hidden="false" customHeight="false" outlineLevel="0" collapsed="false">
      <c r="A379" s="6" t="s">
        <v>21</v>
      </c>
      <c r="B379" s="1" t="n">
        <v>550</v>
      </c>
      <c r="C379" s="2" t="n">
        <v>45767</v>
      </c>
      <c r="D379" s="2" t="n">
        <v>45767</v>
      </c>
      <c r="E379" s="0" t="str">
        <f aca="false">IF(D379&lt;&gt;"","Pago","Em Aberto")</f>
        <v>Pago</v>
      </c>
      <c r="F379" s="7" t="n">
        <f aca="false">IF(B379&lt;&gt;"",B379/$B$52,"")</f>
        <v>0.295116624724334</v>
      </c>
    </row>
    <row r="380" customFormat="false" ht="16.5" hidden="false" customHeight="false" outlineLevel="0" collapsed="false">
      <c r="A380" s="6" t="s">
        <v>31</v>
      </c>
      <c r="B380" s="1" t="n">
        <v>150.98</v>
      </c>
      <c r="C380" s="2" t="n">
        <v>45762</v>
      </c>
      <c r="D380" s="2" t="n">
        <v>45761</v>
      </c>
      <c r="E380" s="0" t="str">
        <f aca="false">IF(D380&lt;&gt;"","Pago","Em Aberto")</f>
        <v>Pago</v>
      </c>
      <c r="F380" s="7" t="n">
        <f aca="false">IF(B380&lt;&gt;"",B380/$B$52,"")</f>
        <v>0.0810121963652363</v>
      </c>
    </row>
    <row r="381" customFormat="false" ht="16.5" hidden="false" customHeight="false" outlineLevel="0" collapsed="false">
      <c r="A381" s="6" t="s">
        <v>13</v>
      </c>
      <c r="B381" s="1" t="n">
        <v>81.9</v>
      </c>
      <c r="C381" s="2" t="n">
        <v>45677</v>
      </c>
      <c r="D381" s="2" t="n">
        <v>45769</v>
      </c>
      <c r="E381" s="0" t="str">
        <f aca="false">IF(D381&lt;&gt;"","Pago","Em Aberto")</f>
        <v>Pago</v>
      </c>
      <c r="F381" s="7" t="n">
        <f aca="false">IF(B381&lt;&gt;"",B381/$B$52,"")</f>
        <v>0.04394554829986</v>
      </c>
    </row>
    <row r="382" customFormat="false" ht="16.5" hidden="false" customHeight="false" outlineLevel="0" collapsed="false">
      <c r="A382" s="6" t="s">
        <v>75</v>
      </c>
      <c r="B382" s="1" t="n">
        <v>203.34</v>
      </c>
      <c r="C382" s="2" t="n">
        <v>45682</v>
      </c>
      <c r="D382" s="2" t="n">
        <v>45771</v>
      </c>
      <c r="E382" s="0" t="str">
        <f aca="false">IF(D382&lt;&gt;"","Pago","Em Aberto")</f>
        <v>Pago</v>
      </c>
      <c r="F382" s="7" t="n">
        <f aca="false">IF(B382&lt;&gt;"",B382/$B$52,"")</f>
        <v>0.109107299038993</v>
      </c>
    </row>
    <row r="383" customFormat="false" ht="16.5" hidden="false" customHeight="false" outlineLevel="0" collapsed="false">
      <c r="A383" s="6" t="s">
        <v>6</v>
      </c>
      <c r="B383" s="1" t="n">
        <v>498.1</v>
      </c>
      <c r="C383" s="2" t="n">
        <v>45683</v>
      </c>
      <c r="D383" s="2" t="n">
        <v>45771</v>
      </c>
      <c r="E383" s="0" t="str">
        <f aca="false">IF(D383&lt;&gt;"","Pago","Em Aberto")</f>
        <v>Pago</v>
      </c>
      <c r="F383" s="7" t="n">
        <f aca="false">IF(B383&lt;&gt;"",B383/$B$52,"")</f>
        <v>0.267268346863983</v>
      </c>
    </row>
    <row r="384" customFormat="false" ht="16.5" hidden="false" customHeight="false" outlineLevel="0" collapsed="false">
      <c r="A384" s="6" t="s">
        <v>107</v>
      </c>
      <c r="B384" s="1" t="n">
        <v>0</v>
      </c>
      <c r="C384" s="2" t="n">
        <v>45683</v>
      </c>
      <c r="D384" s="2" t="n">
        <v>45771</v>
      </c>
      <c r="E384" s="0" t="str">
        <f aca="false">IF(D384&lt;&gt;"","Pago","Em Aberto")</f>
        <v>Pago</v>
      </c>
      <c r="F384" s="7" t="n">
        <f aca="false">IF(B384&lt;&gt;"",B384/$B$52,"")</f>
        <v>0</v>
      </c>
    </row>
    <row r="385" customFormat="false" ht="16.5" hidden="false" customHeight="false" outlineLevel="0" collapsed="false">
      <c r="A385" s="6" t="s">
        <v>5</v>
      </c>
      <c r="B385" s="1" t="n">
        <v>0</v>
      </c>
      <c r="C385" s="2" t="n">
        <v>45683</v>
      </c>
      <c r="D385" s="2" t="n">
        <v>45772</v>
      </c>
      <c r="E385" s="0" t="str">
        <f aca="false">IF(D385&lt;&gt;"","Pago","Em Aberto")</f>
        <v>Pago</v>
      </c>
      <c r="F385" s="7" t="n">
        <f aca="false">IF(B385&lt;&gt;"",B385/$B$52,"")</f>
        <v>0</v>
      </c>
    </row>
    <row r="386" customFormat="false" ht="16.5" hidden="false" customHeight="false" outlineLevel="0" collapsed="false">
      <c r="A386" s="6" t="s">
        <v>108</v>
      </c>
      <c r="B386" s="1" t="n">
        <v>224.84</v>
      </c>
      <c r="C386" s="2" t="n">
        <v>45683</v>
      </c>
      <c r="D386" s="2" t="n">
        <v>45769</v>
      </c>
      <c r="E386" s="0" t="str">
        <f aca="false">IF(D386&lt;&gt;"","Pago","Em Aberto")</f>
        <v>Pago</v>
      </c>
      <c r="F386" s="7" t="n">
        <f aca="false">IF(B386&lt;&gt;"",B386/$B$52,"")</f>
        <v>0.120643676187308</v>
      </c>
    </row>
    <row r="387" customFormat="false" ht="16.5" hidden="false" customHeight="false" outlineLevel="0" collapsed="false">
      <c r="A387" s="6" t="s">
        <v>109</v>
      </c>
      <c r="B387" s="1" t="n">
        <v>183.1</v>
      </c>
      <c r="C387" s="2" t="n">
        <v>45688</v>
      </c>
      <c r="D387" s="2" t="n">
        <v>45775</v>
      </c>
      <c r="E387" s="0" t="str">
        <f aca="false">IF(D387&lt;&gt;"","Pago","Em Aberto")</f>
        <v>Pago</v>
      </c>
      <c r="F387" s="7" t="n">
        <f aca="false">IF(B387&lt;&gt;"",B387/$B$52,"")</f>
        <v>0.0982470072491375</v>
      </c>
    </row>
    <row r="388" customFormat="false" ht="16.5" hidden="false" customHeight="false" outlineLevel="0" collapsed="false">
      <c r="A388" s="6" t="s">
        <v>18</v>
      </c>
      <c r="B388" s="1" t="n">
        <v>15.18</v>
      </c>
      <c r="C388" s="2" t="n">
        <v>45750</v>
      </c>
      <c r="D388" s="2" t="n">
        <v>45750</v>
      </c>
      <c r="E388" s="0" t="str">
        <f aca="false">IF(D388&lt;&gt;"","Pago","Em Aberto")</f>
        <v>Pago</v>
      </c>
      <c r="F388" s="7" t="n">
        <f aca="false">IF(B388&lt;&gt;"",B388/$B$52,"")</f>
        <v>0.00814521884239163</v>
      </c>
    </row>
    <row r="389" customFormat="false" ht="15" hidden="false" customHeight="false" outlineLevel="0" collapsed="false">
      <c r="B389" s="4" t="n">
        <f aca="false">SUM(B378:B388)</f>
        <v>1941.36</v>
      </c>
      <c r="D389" s="5" t="n">
        <f aca="false">SUMIFS(B378:B388,D378:D388,"")</f>
        <v>0</v>
      </c>
    </row>
    <row r="390" customFormat="false" ht="18.75" hidden="false" customHeight="false" outlineLevel="0" collapsed="false">
      <c r="A390" s="10" t="s">
        <v>110</v>
      </c>
      <c r="B390" s="10"/>
      <c r="C390" s="10"/>
      <c r="D390" s="10"/>
      <c r="E390" s="10"/>
      <c r="F390" s="10"/>
    </row>
    <row r="391" customFormat="false" ht="16.5" hidden="false" customHeight="false" outlineLevel="0" collapsed="false">
      <c r="A391" s="6" t="s">
        <v>20</v>
      </c>
      <c r="B391" s="1" t="n">
        <v>70.15</v>
      </c>
      <c r="C391" s="2" t="n">
        <v>45779</v>
      </c>
      <c r="D391" s="2" t="n">
        <v>45798</v>
      </c>
      <c r="E391" s="0" t="str">
        <f aca="false">IF(D391&lt;&gt;"","Pago","Em Aberto")</f>
        <v>Pago</v>
      </c>
      <c r="F391" s="7" t="n">
        <f aca="false">IF(B391&lt;&gt;"",B391/$B$52,"")</f>
        <v>0.0376407840443855</v>
      </c>
    </row>
    <row r="392" customFormat="false" ht="16.5" hidden="false" customHeight="false" outlineLevel="0" collapsed="false">
      <c r="A392" s="6" t="s">
        <v>21</v>
      </c>
      <c r="B392" s="1" t="n">
        <v>550</v>
      </c>
      <c r="C392" s="2" t="n">
        <v>45797</v>
      </c>
      <c r="D392" s="2" t="n">
        <v>45798</v>
      </c>
      <c r="E392" s="0" t="str">
        <f aca="false">IF(D392&lt;&gt;"","Pago","Em Aberto")</f>
        <v>Pago</v>
      </c>
      <c r="F392" s="7" t="n">
        <f aca="false">IF(B392&lt;&gt;"",B392/$B$52,"")</f>
        <v>0.295116624724334</v>
      </c>
    </row>
    <row r="393" customFormat="false" ht="16.5" hidden="false" customHeight="false" outlineLevel="0" collapsed="false">
      <c r="A393" s="6" t="s">
        <v>31</v>
      </c>
      <c r="B393" s="1" t="n">
        <v>0</v>
      </c>
      <c r="C393" s="2" t="n">
        <v>45672</v>
      </c>
      <c r="D393" s="2" t="n">
        <v>45861</v>
      </c>
      <c r="E393" s="0" t="str">
        <f aca="false">IF(D393&lt;&gt;"","Pago","Em Aberto")</f>
        <v>Pago</v>
      </c>
      <c r="F393" s="7" t="n">
        <f aca="false">IF(B393&lt;&gt;"",B393/$B$52,"")</f>
        <v>0</v>
      </c>
    </row>
    <row r="394" customFormat="false" ht="16.5" hidden="false" customHeight="false" outlineLevel="0" collapsed="false">
      <c r="A394" s="6" t="s">
        <v>13</v>
      </c>
      <c r="B394" s="1" t="n">
        <v>81.9</v>
      </c>
      <c r="C394" s="2" t="n">
        <v>45797</v>
      </c>
      <c r="D394" s="2" t="n">
        <v>45796</v>
      </c>
      <c r="E394" s="0" t="str">
        <f aca="false">IF(D394&lt;&gt;"","Pago","Em Aberto")</f>
        <v>Pago</v>
      </c>
      <c r="F394" s="7" t="n">
        <f aca="false">IF(B394&lt;&gt;"",B394/$B$52,"")</f>
        <v>0.04394554829986</v>
      </c>
    </row>
    <row r="395" customFormat="false" ht="16.5" hidden="false" customHeight="false" outlineLevel="0" collapsed="false">
      <c r="A395" s="6" t="s">
        <v>75</v>
      </c>
      <c r="B395" s="1" t="n">
        <v>0</v>
      </c>
      <c r="C395" s="2" t="n">
        <v>45682</v>
      </c>
      <c r="D395" s="2" t="n">
        <v>45861</v>
      </c>
      <c r="E395" s="0" t="str">
        <f aca="false">IF(D395&lt;&gt;"","Pago","Em Aberto")</f>
        <v>Pago</v>
      </c>
      <c r="F395" s="7" t="n">
        <f aca="false">IF(B395&lt;&gt;"",B395/$B$52,"")</f>
        <v>0</v>
      </c>
    </row>
    <row r="396" customFormat="false" ht="16.5" hidden="false" customHeight="false" outlineLevel="0" collapsed="false">
      <c r="A396" s="6" t="s">
        <v>6</v>
      </c>
      <c r="B396" s="1" t="n">
        <v>120.14</v>
      </c>
      <c r="C396" s="2" t="n">
        <v>45803</v>
      </c>
      <c r="D396" s="2" t="n">
        <v>45798</v>
      </c>
      <c r="E396" s="0" t="str">
        <f aca="false">IF(D396&lt;&gt;"","Pago","Em Aberto")</f>
        <v>Pago</v>
      </c>
      <c r="F396" s="7" t="n">
        <f aca="false">IF(B396&lt;&gt;"",B396/$B$52,"")</f>
        <v>0.0644642023534209</v>
      </c>
    </row>
    <row r="397" customFormat="false" ht="16.5" hidden="false" customHeight="false" outlineLevel="0" collapsed="false">
      <c r="A397" s="6" t="s">
        <v>111</v>
      </c>
      <c r="B397" s="1" t="n">
        <v>0</v>
      </c>
      <c r="C397" s="2" t="n">
        <v>45683</v>
      </c>
      <c r="D397" s="2" t="n">
        <v>45861</v>
      </c>
      <c r="E397" s="0" t="str">
        <f aca="false">IF(D397&lt;&gt;"","Pago","Em Aberto")</f>
        <v>Pago</v>
      </c>
      <c r="F397" s="7" t="n">
        <f aca="false">IF(B397&lt;&gt;"",B397/$B$52,"")</f>
        <v>0</v>
      </c>
    </row>
    <row r="398" customFormat="false" ht="16.5" hidden="false" customHeight="false" outlineLevel="0" collapsed="false">
      <c r="A398" s="6" t="s">
        <v>5</v>
      </c>
      <c r="B398" s="1" t="n">
        <v>0</v>
      </c>
      <c r="C398" s="2" t="n">
        <v>45683</v>
      </c>
      <c r="D398" s="2" t="n">
        <v>45861</v>
      </c>
      <c r="E398" s="0" t="str">
        <f aca="false">IF(D398&lt;&gt;"","Pago","Em Aberto")</f>
        <v>Pago</v>
      </c>
      <c r="F398" s="7" t="n">
        <f aca="false">IF(B398&lt;&gt;"",B398/$B$52,"")</f>
        <v>0</v>
      </c>
    </row>
    <row r="399" customFormat="false" ht="16.5" hidden="false" customHeight="false" outlineLevel="0" collapsed="false">
      <c r="A399" s="6" t="s">
        <v>112</v>
      </c>
      <c r="B399" s="1" t="n">
        <v>224.84</v>
      </c>
      <c r="C399" s="2" t="n">
        <v>45803</v>
      </c>
      <c r="D399" s="2" t="n">
        <v>45803</v>
      </c>
      <c r="E399" s="0" t="str">
        <f aca="false">IF(D399&lt;&gt;"","Pago","Em Aberto")</f>
        <v>Pago</v>
      </c>
      <c r="F399" s="7" t="n">
        <f aca="false">IF(B399&lt;&gt;"",B399/$B$52,"")</f>
        <v>0.120643676187308</v>
      </c>
    </row>
    <row r="400" customFormat="false" ht="16.5" hidden="false" customHeight="false" outlineLevel="0" collapsed="false">
      <c r="A400" s="6" t="s">
        <v>113</v>
      </c>
      <c r="B400" s="1" t="n">
        <v>184.46</v>
      </c>
      <c r="C400" s="2" t="n">
        <v>45805</v>
      </c>
      <c r="D400" s="2" t="n">
        <v>45805</v>
      </c>
      <c r="E400" s="0" t="str">
        <f aca="false">IF(D400&lt;&gt;"","Pago","Em Aberto")</f>
        <v>Pago</v>
      </c>
      <c r="F400" s="7" t="n">
        <f aca="false">IF(B400&lt;&gt;"",B400/$B$52,"")</f>
        <v>0.0989767501757285</v>
      </c>
    </row>
    <row r="401" customFormat="false" ht="16.5" hidden="false" customHeight="false" outlineLevel="0" collapsed="false">
      <c r="A401" s="6" t="s">
        <v>18</v>
      </c>
      <c r="B401" s="1" t="n">
        <v>71.1</v>
      </c>
      <c r="C401" s="2" t="n">
        <v>45779</v>
      </c>
      <c r="D401" s="2" t="n">
        <v>45779</v>
      </c>
      <c r="E401" s="0" t="str">
        <f aca="false">IF(D401&lt;&gt;"","Pago","Em Aberto")</f>
        <v>Pago</v>
      </c>
      <c r="F401" s="7" t="n">
        <f aca="false">IF(B401&lt;&gt;"",B401/$B$52,"")</f>
        <v>0.0381505309416367</v>
      </c>
    </row>
    <row r="402" customFormat="false" ht="15" hidden="false" customHeight="false" outlineLevel="0" collapsed="false">
      <c r="B402" s="4" t="n">
        <f aca="false">SUM(B391:B401)</f>
        <v>1302.59</v>
      </c>
      <c r="D402" s="5" t="n">
        <f aca="false">SUMIFS(B391:B401,D391:D401,"")</f>
        <v>0</v>
      </c>
    </row>
    <row r="403" customFormat="false" ht="18.75" hidden="false" customHeight="false" outlineLevel="0" collapsed="false">
      <c r="A403" s="10" t="s">
        <v>114</v>
      </c>
      <c r="B403" s="10"/>
      <c r="C403" s="10"/>
      <c r="D403" s="10"/>
      <c r="E403" s="10"/>
      <c r="F403" s="10"/>
    </row>
    <row r="404" customFormat="false" ht="16.5" hidden="false" customHeight="false" outlineLevel="0" collapsed="false">
      <c r="A404" s="6" t="s">
        <v>20</v>
      </c>
      <c r="B404" s="1" t="n">
        <v>30</v>
      </c>
      <c r="C404" s="2" t="n">
        <v>45662</v>
      </c>
      <c r="D404" s="2" t="n">
        <v>45861</v>
      </c>
      <c r="E404" s="0" t="str">
        <f aca="false">IF(D404&lt;&gt;"","Pago","Em Aberto")</f>
        <v>Pago</v>
      </c>
      <c r="F404" s="7" t="n">
        <f aca="false">IF(B404&lt;&gt;"",B404/$B$52,"")</f>
        <v>0.0160972704395091</v>
      </c>
    </row>
    <row r="405" customFormat="false" ht="16.5" hidden="false" customHeight="false" outlineLevel="0" collapsed="false">
      <c r="A405" s="6" t="s">
        <v>21</v>
      </c>
      <c r="B405" s="1" t="n">
        <v>550</v>
      </c>
      <c r="C405" s="2" t="n">
        <v>45667</v>
      </c>
      <c r="D405" s="2" t="n">
        <v>45861</v>
      </c>
      <c r="E405" s="0" t="str">
        <f aca="false">IF(D405&lt;&gt;"","Pago","Em Aberto")</f>
        <v>Pago</v>
      </c>
      <c r="F405" s="7" t="n">
        <f aca="false">IF(B405&lt;&gt;"",B405/$B$52,"")</f>
        <v>0.295116624724334</v>
      </c>
    </row>
    <row r="406" customFormat="false" ht="16.5" hidden="false" customHeight="false" outlineLevel="0" collapsed="false">
      <c r="A406" s="6" t="s">
        <v>31</v>
      </c>
      <c r="B406" s="1" t="n">
        <v>0</v>
      </c>
      <c r="C406" s="2" t="n">
        <v>45672</v>
      </c>
      <c r="D406" s="2" t="n">
        <v>45852</v>
      </c>
      <c r="E406" s="0" t="str">
        <f aca="false">IF(D406&lt;&gt;"","Pago","Em Aberto")</f>
        <v>Pago</v>
      </c>
      <c r="F406" s="7" t="n">
        <f aca="false">IF(B406&lt;&gt;"",B406/$B$52,"")</f>
        <v>0</v>
      </c>
    </row>
    <row r="407" customFormat="false" ht="16.5" hidden="false" customHeight="false" outlineLevel="0" collapsed="false">
      <c r="A407" s="6" t="s">
        <v>13</v>
      </c>
      <c r="B407" s="1" t="n">
        <v>81.9</v>
      </c>
      <c r="C407" s="2" t="n">
        <v>45677</v>
      </c>
      <c r="D407" s="2" t="n">
        <v>45856</v>
      </c>
      <c r="E407" s="0" t="str">
        <f aca="false">IF(D407&lt;&gt;"","Pago","Em Aberto")</f>
        <v>Pago</v>
      </c>
      <c r="F407" s="7" t="n">
        <f aca="false">IF(B407&lt;&gt;"",B407/$B$52,"")</f>
        <v>0.04394554829986</v>
      </c>
    </row>
    <row r="408" customFormat="false" ht="16.5" hidden="false" customHeight="false" outlineLevel="0" collapsed="false">
      <c r="A408" s="6" t="s">
        <v>75</v>
      </c>
      <c r="B408" s="1" t="n">
        <v>0</v>
      </c>
      <c r="C408" s="2" t="n">
        <v>45682</v>
      </c>
      <c r="D408" s="2" t="n">
        <v>45861</v>
      </c>
      <c r="E408" s="0" t="str">
        <f aca="false">IF(D408&lt;&gt;"","Pago","Em Aberto")</f>
        <v>Pago</v>
      </c>
      <c r="F408" s="7" t="n">
        <f aca="false">IF(B408&lt;&gt;"",B408/$B$52,"")</f>
        <v>0</v>
      </c>
    </row>
    <row r="409" customFormat="false" ht="16.5" hidden="false" customHeight="false" outlineLevel="0" collapsed="false">
      <c r="A409" s="6" t="s">
        <v>6</v>
      </c>
      <c r="B409" s="1" t="n">
        <v>128.96</v>
      </c>
      <c r="C409" s="2" t="n">
        <v>45683</v>
      </c>
      <c r="D409" s="2" t="n">
        <v>45861</v>
      </c>
      <c r="E409" s="0" t="str">
        <f aca="false">IF(D409&lt;&gt;"","Pago","Em Aberto")</f>
        <v>Pago</v>
      </c>
      <c r="F409" s="7" t="n">
        <f aca="false">IF(B409&lt;&gt;"",B409/$B$52,"")</f>
        <v>0.0691967998626366</v>
      </c>
    </row>
    <row r="410" customFormat="false" ht="16.5" hidden="false" customHeight="false" outlineLevel="0" collapsed="false">
      <c r="A410" s="6" t="s">
        <v>115</v>
      </c>
      <c r="B410" s="1" t="n">
        <v>0</v>
      </c>
      <c r="C410" s="2" t="n">
        <v>45683</v>
      </c>
      <c r="D410" s="2" t="n">
        <v>45861</v>
      </c>
      <c r="E410" s="0" t="str">
        <f aca="false">IF(D410&lt;&gt;"","Pago","Em Aberto")</f>
        <v>Pago</v>
      </c>
      <c r="F410" s="7" t="n">
        <f aca="false">IF(B410&lt;&gt;"",B410/$B$52,"")</f>
        <v>0</v>
      </c>
    </row>
    <row r="411" customFormat="false" ht="16.5" hidden="false" customHeight="false" outlineLevel="0" collapsed="false">
      <c r="A411" s="6" t="s">
        <v>5</v>
      </c>
      <c r="B411" s="1" t="n">
        <v>143.5</v>
      </c>
      <c r="C411" s="2" t="n">
        <v>45683</v>
      </c>
      <c r="D411" s="2" t="n">
        <v>45861</v>
      </c>
      <c r="E411" s="0" t="str">
        <f aca="false">IF(D411&lt;&gt;"","Pago","Em Aberto")</f>
        <v>Pago</v>
      </c>
      <c r="F411" s="7" t="n">
        <f aca="false">IF(B411&lt;&gt;"",B411/$B$52,"")</f>
        <v>0.0769986102689854</v>
      </c>
    </row>
    <row r="412" customFormat="false" ht="16.5" hidden="false" customHeight="false" outlineLevel="0" collapsed="false">
      <c r="A412" s="6" t="s">
        <v>116</v>
      </c>
      <c r="B412" s="1" t="n">
        <v>0</v>
      </c>
      <c r="C412" s="2" t="n">
        <v>45683</v>
      </c>
      <c r="D412" s="2" t="n">
        <v>45861</v>
      </c>
      <c r="E412" s="0" t="str">
        <f aca="false">IF(D412&lt;&gt;"","Pago","Em Aberto")</f>
        <v>Pago</v>
      </c>
      <c r="F412" s="7" t="n">
        <f aca="false">IF(B412&lt;&gt;"",B412/$B$52,"")</f>
        <v>0</v>
      </c>
    </row>
    <row r="413" customFormat="false" ht="16.5" hidden="false" customHeight="false" outlineLevel="0" collapsed="false">
      <c r="A413" s="6" t="s">
        <v>117</v>
      </c>
      <c r="B413" s="1" t="n">
        <v>185.92</v>
      </c>
      <c r="C413" s="2" t="n">
        <v>45688</v>
      </c>
      <c r="D413" s="2" t="n">
        <v>45861</v>
      </c>
      <c r="E413" s="0" t="str">
        <f aca="false">IF(D413&lt;&gt;"","Pago","Em Aberto")</f>
        <v>Pago</v>
      </c>
      <c r="F413" s="7" t="n">
        <f aca="false">IF(B413&lt;&gt;"",B413/$B$52,"")</f>
        <v>0.0997601506704513</v>
      </c>
    </row>
    <row r="414" customFormat="false" ht="16.5" hidden="false" customHeight="false" outlineLevel="0" collapsed="false">
      <c r="A414" s="6" t="s">
        <v>18</v>
      </c>
      <c r="B414" s="1" t="n">
        <v>8.8</v>
      </c>
      <c r="C414" s="2" t="n">
        <v>45689</v>
      </c>
      <c r="D414" s="2"/>
      <c r="E414" s="0" t="str">
        <f aca="false">IF(D414&lt;&gt;"","Pago","Em Aberto")</f>
        <v>Em Aberto</v>
      </c>
      <c r="F414" s="7" t="n">
        <f aca="false">IF(B414&lt;&gt;"",B414/$B$52,"")</f>
        <v>0.00472186599558935</v>
      </c>
    </row>
    <row r="415" customFormat="false" ht="15" hidden="false" customHeight="false" outlineLevel="0" collapsed="false">
      <c r="B415" s="4" t="n">
        <f aca="false">SUM(B404:B414)</f>
        <v>1129.08</v>
      </c>
      <c r="D415" s="5" t="n">
        <f aca="false">SUMIFS(B404:B414,D404:D414,"")</f>
        <v>8.8</v>
      </c>
    </row>
    <row r="416" customFormat="false" ht="18.75" hidden="false" customHeight="false" outlineLevel="0" collapsed="false">
      <c r="A416" s="10" t="s">
        <v>118</v>
      </c>
      <c r="B416" s="10"/>
      <c r="C416" s="10"/>
      <c r="D416" s="10"/>
      <c r="E416" s="10"/>
      <c r="F416" s="10"/>
    </row>
    <row r="417" customFormat="false" ht="16.5" hidden="false" customHeight="false" outlineLevel="0" collapsed="false">
      <c r="A417" s="6" t="s">
        <v>20</v>
      </c>
      <c r="B417" s="1" t="n">
        <v>30</v>
      </c>
      <c r="C417" s="2" t="n">
        <v>45662</v>
      </c>
      <c r="D417" s="2"/>
      <c r="E417" s="0" t="str">
        <f aca="false">IF(D417&lt;&gt;"","Pago","Em Aberto")</f>
        <v>Em Aberto</v>
      </c>
      <c r="F417" s="7" t="n">
        <f aca="false">IF(B417&lt;&gt;"",B417/$B$52,"")</f>
        <v>0.0160972704395091</v>
      </c>
    </row>
    <row r="418" customFormat="false" ht="16.5" hidden="false" customHeight="false" outlineLevel="0" collapsed="false">
      <c r="A418" s="6" t="s">
        <v>21</v>
      </c>
      <c r="B418" s="1" t="n">
        <v>450</v>
      </c>
      <c r="C418" s="2" t="n">
        <v>45667</v>
      </c>
      <c r="D418" s="2" t="n">
        <v>45856</v>
      </c>
      <c r="E418" s="0" t="str">
        <f aca="false">IF(D418&lt;&gt;"","Pago","Em Aberto")</f>
        <v>Pago</v>
      </c>
      <c r="F418" s="7" t="n">
        <f aca="false">IF(B418&lt;&gt;"",B418/$B$52,"")</f>
        <v>0.241459056592637</v>
      </c>
    </row>
    <row r="419" customFormat="false" ht="16.5" hidden="false" customHeight="false" outlineLevel="0" collapsed="false">
      <c r="A419" s="6" t="s">
        <v>31</v>
      </c>
      <c r="B419" s="1" t="n">
        <v>0</v>
      </c>
      <c r="C419" s="2" t="n">
        <v>45672</v>
      </c>
      <c r="D419" s="2"/>
      <c r="E419" s="0" t="str">
        <f aca="false">IF(D419&lt;&gt;"","Pago","Em Aberto")</f>
        <v>Em Aberto</v>
      </c>
      <c r="F419" s="7" t="n">
        <f aca="false">IF(B419&lt;&gt;"",B419/$B$52,"")</f>
        <v>0</v>
      </c>
    </row>
    <row r="420" customFormat="false" ht="16.5" hidden="false" customHeight="false" outlineLevel="0" collapsed="false">
      <c r="A420" s="6" t="s">
        <v>13</v>
      </c>
      <c r="B420" s="1" t="n">
        <v>76.6</v>
      </c>
      <c r="C420" s="2" t="n">
        <v>45677</v>
      </c>
      <c r="D420" s="2"/>
      <c r="E420" s="0" t="str">
        <f aca="false">IF(D420&lt;&gt;"","Pago","Em Aberto")</f>
        <v>Em Aberto</v>
      </c>
      <c r="F420" s="7" t="n">
        <f aca="false">IF(B420&lt;&gt;"",B420/$B$52,"")</f>
        <v>0.04110169718888</v>
      </c>
    </row>
    <row r="421" customFormat="false" ht="16.5" hidden="false" customHeight="false" outlineLevel="0" collapsed="false">
      <c r="A421" s="6" t="s">
        <v>75</v>
      </c>
      <c r="B421" s="1" t="n">
        <v>0</v>
      </c>
      <c r="C421" s="2" t="n">
        <v>45682</v>
      </c>
      <c r="D421" s="2"/>
      <c r="E421" s="0" t="str">
        <f aca="false">IF(D421&lt;&gt;"","Pago","Em Aberto")</f>
        <v>Em Aberto</v>
      </c>
      <c r="F421" s="7" t="n">
        <f aca="false">IF(B421&lt;&gt;"",B421/$B$52,"")</f>
        <v>0</v>
      </c>
    </row>
    <row r="422" customFormat="false" ht="16.5" hidden="false" customHeight="false" outlineLevel="0" collapsed="false">
      <c r="A422" s="6" t="s">
        <v>6</v>
      </c>
      <c r="B422" s="1" t="n">
        <v>128.96</v>
      </c>
      <c r="C422" s="2" t="n">
        <v>45683</v>
      </c>
      <c r="D422" s="2"/>
      <c r="E422" s="0" t="str">
        <f aca="false">IF(D422&lt;&gt;"","Pago","Em Aberto")</f>
        <v>Em Aberto</v>
      </c>
      <c r="F422" s="7" t="n">
        <f aca="false">IF(B422&lt;&gt;"",B422/$B$52,"")</f>
        <v>0.0691967998626366</v>
      </c>
    </row>
    <row r="423" customFormat="false" ht="16.5" hidden="false" customHeight="false" outlineLevel="0" collapsed="false">
      <c r="A423" s="6" t="s">
        <v>119</v>
      </c>
      <c r="B423" s="1" t="n">
        <v>266.52</v>
      </c>
      <c r="C423" s="2" t="n">
        <v>45683</v>
      </c>
      <c r="D423" s="2"/>
      <c r="E423" s="0" t="str">
        <f aca="false">IF(D423&lt;&gt;"","Pago","Em Aberto")</f>
        <v>Em Aberto</v>
      </c>
      <c r="F423" s="7" t="n">
        <f aca="false">IF(B423&lt;&gt;"",B423/$B$52,"")</f>
        <v>0.143008150584599</v>
      </c>
    </row>
    <row r="424" customFormat="false" ht="16.5" hidden="false" customHeight="false" outlineLevel="0" collapsed="false">
      <c r="A424" s="6" t="s">
        <v>5</v>
      </c>
      <c r="B424" s="1" t="n">
        <v>0</v>
      </c>
      <c r="C424" s="2" t="n">
        <v>45683</v>
      </c>
      <c r="D424" s="2"/>
      <c r="E424" s="0" t="str">
        <f aca="false">IF(D424&lt;&gt;"","Pago","Em Aberto")</f>
        <v>Em Aberto</v>
      </c>
      <c r="F424" s="7" t="n">
        <f aca="false">IF(B424&lt;&gt;"",B424/$B$52,"")</f>
        <v>0</v>
      </c>
    </row>
    <row r="425" customFormat="false" ht="16.5" hidden="false" customHeight="false" outlineLevel="0" collapsed="false">
      <c r="A425" s="6" t="s">
        <v>120</v>
      </c>
      <c r="B425" s="1" t="n">
        <v>224.84</v>
      </c>
      <c r="C425" s="2" t="n">
        <v>45683</v>
      </c>
      <c r="D425" s="2"/>
      <c r="E425" s="0" t="str">
        <f aca="false">IF(D425&lt;&gt;"","Pago","Em Aberto")</f>
        <v>Em Aberto</v>
      </c>
      <c r="F425" s="7" t="n">
        <f aca="false">IF(B425&lt;&gt;"",B425/$B$52,"")</f>
        <v>0.120643676187308</v>
      </c>
    </row>
    <row r="426" customFormat="false" ht="16.5" hidden="false" customHeight="false" outlineLevel="0" collapsed="false">
      <c r="A426" s="6" t="s">
        <v>121</v>
      </c>
      <c r="B426" s="1" t="n">
        <v>187.67</v>
      </c>
      <c r="C426" s="2" t="n">
        <v>45688</v>
      </c>
      <c r="D426" s="2" t="n">
        <v>45861</v>
      </c>
      <c r="E426" s="0" t="str">
        <f aca="false">IF(D426&lt;&gt;"","Pago","Em Aberto")</f>
        <v>Pago</v>
      </c>
      <c r="F426" s="7" t="n">
        <f aca="false">IF(B426&lt;&gt;"",B426/$B$52,"")</f>
        <v>0.100699158112756</v>
      </c>
    </row>
    <row r="427" customFormat="false" ht="16.5" hidden="false" customHeight="false" outlineLevel="0" collapsed="false">
      <c r="A427" s="6" t="s">
        <v>18</v>
      </c>
      <c r="B427" s="1" t="n">
        <v>8.8</v>
      </c>
      <c r="C427" s="2" t="n">
        <v>45689</v>
      </c>
      <c r="D427" s="2"/>
      <c r="E427" s="0" t="str">
        <f aca="false">IF(D427&lt;&gt;"","Pago","Em Aberto")</f>
        <v>Em Aberto</v>
      </c>
      <c r="F427" s="7" t="n">
        <f aca="false">IF(B427&lt;&gt;"",B427/$B$52,"")</f>
        <v>0.00472186599558935</v>
      </c>
    </row>
    <row r="428" customFormat="false" ht="15" hidden="false" customHeight="false" outlineLevel="0" collapsed="false">
      <c r="B428" s="4" t="n">
        <f aca="false">SUM(B417:B427)</f>
        <v>1373.39</v>
      </c>
      <c r="D428" s="5" t="n">
        <f aca="false">SUMIFS(B417:B427,D417:D427,"")</f>
        <v>735.72</v>
      </c>
    </row>
    <row r="429" customFormat="false" ht="18.75" hidden="false" customHeight="false" outlineLevel="0" collapsed="false">
      <c r="A429" s="10" t="s">
        <v>122</v>
      </c>
      <c r="B429" s="10"/>
      <c r="C429" s="10"/>
      <c r="D429" s="10"/>
      <c r="E429" s="10"/>
      <c r="F429" s="10"/>
    </row>
    <row r="430" customFormat="false" ht="16.5" hidden="false" customHeight="false" outlineLevel="0" collapsed="false">
      <c r="A430" s="6" t="s">
        <v>20</v>
      </c>
      <c r="B430" s="1" t="n">
        <v>30</v>
      </c>
      <c r="C430" s="2" t="n">
        <v>45662</v>
      </c>
      <c r="D430" s="2"/>
      <c r="E430" s="0" t="str">
        <f aca="false">IF(D430&lt;&gt;"","Pago","Em Aberto")</f>
        <v>Em Aberto</v>
      </c>
      <c r="F430" s="7" t="n">
        <f aca="false">IF(B430&lt;&gt;"",B430/$B$52,"")</f>
        <v>0.0160972704395091</v>
      </c>
    </row>
    <row r="431" customFormat="false" ht="16.5" hidden="false" customHeight="false" outlineLevel="0" collapsed="false">
      <c r="A431" s="6" t="s">
        <v>21</v>
      </c>
      <c r="B431" s="1" t="n">
        <v>450</v>
      </c>
      <c r="C431" s="2" t="n">
        <v>45667</v>
      </c>
      <c r="D431" s="2"/>
      <c r="E431" s="0" t="str">
        <f aca="false">IF(D431&lt;&gt;"","Pago","Em Aberto")</f>
        <v>Em Aberto</v>
      </c>
      <c r="F431" s="7" t="n">
        <f aca="false">IF(B431&lt;&gt;"",B431/$B$52,"")</f>
        <v>0.241459056592637</v>
      </c>
    </row>
    <row r="432" customFormat="false" ht="16.5" hidden="false" customHeight="false" outlineLevel="0" collapsed="false">
      <c r="A432" s="6" t="s">
        <v>31</v>
      </c>
      <c r="B432" s="1" t="n">
        <v>0</v>
      </c>
      <c r="C432" s="2" t="n">
        <v>45672</v>
      </c>
      <c r="D432" s="2"/>
      <c r="E432" s="0" t="str">
        <f aca="false">IF(D432&lt;&gt;"","Pago","Em Aberto")</f>
        <v>Em Aberto</v>
      </c>
      <c r="F432" s="7" t="n">
        <f aca="false">IF(B432&lt;&gt;"",B432/$B$52,"")</f>
        <v>0</v>
      </c>
    </row>
    <row r="433" customFormat="false" ht="16.5" hidden="false" customHeight="false" outlineLevel="0" collapsed="false">
      <c r="A433" s="6" t="s">
        <v>13</v>
      </c>
      <c r="B433" s="1" t="n">
        <v>76.6</v>
      </c>
      <c r="C433" s="2" t="n">
        <v>45677</v>
      </c>
      <c r="D433" s="2"/>
      <c r="E433" s="0" t="str">
        <f aca="false">IF(D433&lt;&gt;"","Pago","Em Aberto")</f>
        <v>Em Aberto</v>
      </c>
      <c r="F433" s="7" t="n">
        <f aca="false">IF(B433&lt;&gt;"",B433/$B$52,"")</f>
        <v>0.04110169718888</v>
      </c>
    </row>
    <row r="434" customFormat="false" ht="16.5" hidden="false" customHeight="false" outlineLevel="0" collapsed="false">
      <c r="A434" s="6" t="s">
        <v>75</v>
      </c>
      <c r="B434" s="1" t="n">
        <v>0</v>
      </c>
      <c r="C434" s="2" t="n">
        <v>45682</v>
      </c>
      <c r="D434" s="2"/>
      <c r="E434" s="0" t="str">
        <f aca="false">IF(D434&lt;&gt;"","Pago","Em Aberto")</f>
        <v>Em Aberto</v>
      </c>
      <c r="F434" s="7" t="n">
        <f aca="false">IF(B434&lt;&gt;"",B434/$B$52,"")</f>
        <v>0</v>
      </c>
    </row>
    <row r="435" customFormat="false" ht="16.5" hidden="false" customHeight="false" outlineLevel="0" collapsed="false">
      <c r="A435" s="6" t="s">
        <v>6</v>
      </c>
      <c r="B435" s="1" t="n">
        <v>128.96</v>
      </c>
      <c r="C435" s="2" t="n">
        <v>45683</v>
      </c>
      <c r="D435" s="2"/>
      <c r="E435" s="0" t="str">
        <f aca="false">IF(D435&lt;&gt;"","Pago","Em Aberto")</f>
        <v>Em Aberto</v>
      </c>
      <c r="F435" s="7" t="n">
        <f aca="false">IF(B435&lt;&gt;"",B435/$B$52,"")</f>
        <v>0.0691967998626366</v>
      </c>
    </row>
    <row r="436" customFormat="false" ht="16.5" hidden="false" customHeight="false" outlineLevel="0" collapsed="false">
      <c r="A436" s="6" t="s">
        <v>123</v>
      </c>
      <c r="B436" s="1" t="n">
        <v>266.52</v>
      </c>
      <c r="C436" s="2" t="n">
        <v>45683</v>
      </c>
      <c r="D436" s="2"/>
      <c r="E436" s="0" t="str">
        <f aca="false">IF(D436&lt;&gt;"","Pago","Em Aberto")</f>
        <v>Em Aberto</v>
      </c>
      <c r="F436" s="7" t="n">
        <f aca="false">IF(B436&lt;&gt;"",B436/$B$52,"")</f>
        <v>0.143008150584599</v>
      </c>
    </row>
    <row r="437" customFormat="false" ht="16.5" hidden="false" customHeight="false" outlineLevel="0" collapsed="false">
      <c r="A437" s="6" t="s">
        <v>5</v>
      </c>
      <c r="B437" s="1" t="n">
        <v>0</v>
      </c>
      <c r="C437" s="2" t="n">
        <v>45683</v>
      </c>
      <c r="D437" s="2"/>
      <c r="E437" s="0" t="str">
        <f aca="false">IF(D437&lt;&gt;"","Pago","Em Aberto")</f>
        <v>Em Aberto</v>
      </c>
      <c r="F437" s="7" t="n">
        <f aca="false">IF(B437&lt;&gt;"",B437/$B$52,"")</f>
        <v>0</v>
      </c>
    </row>
    <row r="438" customFormat="false" ht="16.5" hidden="false" customHeight="false" outlineLevel="0" collapsed="false">
      <c r="A438" s="6" t="s">
        <v>124</v>
      </c>
      <c r="B438" s="1" t="n">
        <v>224.84</v>
      </c>
      <c r="C438" s="2" t="n">
        <v>45683</v>
      </c>
      <c r="D438" s="2"/>
      <c r="E438" s="0" t="str">
        <f aca="false">IF(D438&lt;&gt;"","Pago","Em Aberto")</f>
        <v>Em Aberto</v>
      </c>
      <c r="F438" s="7" t="n">
        <f aca="false">IF(B438&lt;&gt;"",B438/$B$52,"")</f>
        <v>0.120643676187308</v>
      </c>
    </row>
    <row r="439" customFormat="false" ht="16.5" hidden="false" customHeight="false" outlineLevel="0" collapsed="false">
      <c r="A439" s="6" t="s">
        <v>125</v>
      </c>
      <c r="B439" s="1" t="n">
        <v>179.3</v>
      </c>
      <c r="C439" s="2" t="n">
        <v>45688</v>
      </c>
      <c r="D439" s="2"/>
      <c r="E439" s="0" t="str">
        <f aca="false">IF(D439&lt;&gt;"","Pago","Em Aberto")</f>
        <v>Em Aberto</v>
      </c>
      <c r="F439" s="7" t="n">
        <f aca="false">IF(B439&lt;&gt;"",B439/$B$52,"")</f>
        <v>0.096208019660133</v>
      </c>
    </row>
    <row r="440" customFormat="false" ht="16.5" hidden="false" customHeight="false" outlineLevel="0" collapsed="false">
      <c r="A440" s="6" t="s">
        <v>18</v>
      </c>
      <c r="B440" s="1" t="n">
        <v>8.8</v>
      </c>
      <c r="C440" s="2" t="n">
        <v>45689</v>
      </c>
      <c r="D440" s="2"/>
      <c r="E440" s="0" t="str">
        <f aca="false">IF(D440&lt;&gt;"","Pago","Em Aberto")</f>
        <v>Em Aberto</v>
      </c>
      <c r="F440" s="7" t="n">
        <f aca="false">IF(B440&lt;&gt;"",B440/$B$52,"")</f>
        <v>0.00472186599558935</v>
      </c>
    </row>
    <row r="441" customFormat="false" ht="15" hidden="false" customHeight="false" outlineLevel="0" collapsed="false">
      <c r="B441" s="4" t="n">
        <f aca="false">SUM(B430:B440)</f>
        <v>1365.02</v>
      </c>
      <c r="D441" s="5" t="n">
        <f aca="false">SUMIFS(B430:B440,D430:D440,"")</f>
        <v>1365.02</v>
      </c>
    </row>
    <row r="442" customFormat="false" ht="18.75" hidden="false" customHeight="false" outlineLevel="0" collapsed="false">
      <c r="A442" s="10" t="s">
        <v>126</v>
      </c>
      <c r="B442" s="10"/>
      <c r="C442" s="10"/>
      <c r="D442" s="10"/>
      <c r="E442" s="10"/>
      <c r="F442" s="10"/>
    </row>
    <row r="443" customFormat="false" ht="16.5" hidden="false" customHeight="false" outlineLevel="0" collapsed="false">
      <c r="A443" s="6" t="s">
        <v>20</v>
      </c>
      <c r="B443" s="1" t="n">
        <v>30</v>
      </c>
      <c r="C443" s="2" t="n">
        <v>45662</v>
      </c>
      <c r="D443" s="2"/>
      <c r="E443" s="0" t="str">
        <f aca="false">IF(D443&lt;&gt;"","Pago","Em Aberto")</f>
        <v>Em Aberto</v>
      </c>
      <c r="F443" s="7" t="n">
        <f aca="false">IF(B443&lt;&gt;"",B443/$B$52,"")</f>
        <v>0.0160972704395091</v>
      </c>
    </row>
    <row r="444" customFormat="false" ht="16.5" hidden="false" customHeight="false" outlineLevel="0" collapsed="false">
      <c r="A444" s="6" t="s">
        <v>21</v>
      </c>
      <c r="B444" s="1" t="n">
        <v>450</v>
      </c>
      <c r="C444" s="2" t="n">
        <v>45667</v>
      </c>
      <c r="D444" s="2"/>
      <c r="E444" s="0" t="str">
        <f aca="false">IF(D444&lt;&gt;"","Pago","Em Aberto")</f>
        <v>Em Aberto</v>
      </c>
      <c r="F444" s="7" t="n">
        <f aca="false">IF(B444&lt;&gt;"",B444/$B$52,"")</f>
        <v>0.241459056592637</v>
      </c>
    </row>
    <row r="445" customFormat="false" ht="16.5" hidden="false" customHeight="false" outlineLevel="0" collapsed="false">
      <c r="A445" s="6" t="s">
        <v>31</v>
      </c>
      <c r="B445" s="1" t="n">
        <v>0</v>
      </c>
      <c r="C445" s="2" t="n">
        <v>45672</v>
      </c>
      <c r="D445" s="2"/>
      <c r="E445" s="0" t="str">
        <f aca="false">IF(D445&lt;&gt;"","Pago","Em Aberto")</f>
        <v>Em Aberto</v>
      </c>
      <c r="F445" s="7" t="n">
        <f aca="false">IF(B445&lt;&gt;"",B445/$B$52,"")</f>
        <v>0</v>
      </c>
    </row>
    <row r="446" customFormat="false" ht="16.5" hidden="false" customHeight="false" outlineLevel="0" collapsed="false">
      <c r="A446" s="6" t="s">
        <v>13</v>
      </c>
      <c r="B446" s="1" t="n">
        <v>76.6</v>
      </c>
      <c r="C446" s="2" t="n">
        <v>45677</v>
      </c>
      <c r="D446" s="2"/>
      <c r="E446" s="0" t="str">
        <f aca="false">IF(D446&lt;&gt;"","Pago","Em Aberto")</f>
        <v>Em Aberto</v>
      </c>
      <c r="F446" s="7" t="n">
        <f aca="false">IF(B446&lt;&gt;"",B446/$B$52,"")</f>
        <v>0.04110169718888</v>
      </c>
    </row>
    <row r="447" customFormat="false" ht="16.5" hidden="false" customHeight="false" outlineLevel="0" collapsed="false">
      <c r="A447" s="6" t="s">
        <v>75</v>
      </c>
      <c r="B447" s="1" t="n">
        <v>0</v>
      </c>
      <c r="C447" s="2" t="n">
        <v>45682</v>
      </c>
      <c r="D447" s="2"/>
      <c r="E447" s="0" t="str">
        <f aca="false">IF(D447&lt;&gt;"","Pago","Em Aberto")</f>
        <v>Em Aberto</v>
      </c>
      <c r="F447" s="7" t="n">
        <f aca="false">IF(B447&lt;&gt;"",B447/$B$52,"")</f>
        <v>0</v>
      </c>
    </row>
    <row r="448" customFormat="false" ht="16.5" hidden="false" customHeight="false" outlineLevel="0" collapsed="false">
      <c r="A448" s="6" t="s">
        <v>6</v>
      </c>
      <c r="B448" s="1" t="n">
        <v>128.96</v>
      </c>
      <c r="C448" s="2" t="n">
        <v>45683</v>
      </c>
      <c r="D448" s="2"/>
      <c r="E448" s="0" t="str">
        <f aca="false">IF(D448&lt;&gt;"","Pago","Em Aberto")</f>
        <v>Em Aberto</v>
      </c>
      <c r="F448" s="7" t="n">
        <f aca="false">IF(B448&lt;&gt;"",B448/$B$52,"")</f>
        <v>0.0691967998626366</v>
      </c>
    </row>
    <row r="449" customFormat="false" ht="16.5" hidden="false" customHeight="false" outlineLevel="0" collapsed="false">
      <c r="A449" s="6" t="s">
        <v>5</v>
      </c>
      <c r="B449" s="1" t="n">
        <v>0</v>
      </c>
      <c r="C449" s="2" t="n">
        <v>45683</v>
      </c>
      <c r="D449" s="2"/>
      <c r="E449" s="0" t="str">
        <f aca="false">IF(D449&lt;&gt;"","Pago","Em Aberto")</f>
        <v>Em Aberto</v>
      </c>
      <c r="F449" s="7" t="n">
        <f aca="false">IF(B449&lt;&gt;"",B449/$B$52,"")</f>
        <v>0</v>
      </c>
    </row>
    <row r="450" customFormat="false" ht="16.5" hidden="false" customHeight="false" outlineLevel="0" collapsed="false">
      <c r="A450" s="6" t="s">
        <v>127</v>
      </c>
      <c r="B450" s="1" t="n">
        <v>224.84</v>
      </c>
      <c r="C450" s="2" t="n">
        <v>45683</v>
      </c>
      <c r="D450" s="2"/>
      <c r="E450" s="0" t="str">
        <f aca="false">IF(D450&lt;&gt;"","Pago","Em Aberto")</f>
        <v>Em Aberto</v>
      </c>
      <c r="F450" s="7" t="n">
        <f aca="false">IF(B450&lt;&gt;"",B450/$B$52,"")</f>
        <v>0.120643676187308</v>
      </c>
    </row>
    <row r="451" customFormat="false" ht="16.5" hidden="false" customHeight="false" outlineLevel="0" collapsed="false">
      <c r="A451" s="6" t="s">
        <v>128</v>
      </c>
      <c r="B451" s="1" t="n">
        <v>179.3</v>
      </c>
      <c r="C451" s="2" t="n">
        <v>45688</v>
      </c>
      <c r="D451" s="2"/>
      <c r="E451" s="0" t="str">
        <f aca="false">IF(D451&lt;&gt;"","Pago","Em Aberto")</f>
        <v>Em Aberto</v>
      </c>
      <c r="F451" s="7" t="n">
        <f aca="false">IF(B451&lt;&gt;"",B451/$B$52,"")</f>
        <v>0.096208019660133</v>
      </c>
    </row>
    <row r="452" customFormat="false" ht="16.5" hidden="false" customHeight="false" outlineLevel="0" collapsed="false">
      <c r="A452" s="6" t="s">
        <v>18</v>
      </c>
      <c r="B452" s="1" t="n">
        <v>8.8</v>
      </c>
      <c r="C452" s="2" t="n">
        <v>45689</v>
      </c>
      <c r="D452" s="2"/>
      <c r="E452" s="0" t="str">
        <f aca="false">IF(D452&lt;&gt;"","Pago","Em Aberto")</f>
        <v>Em Aberto</v>
      </c>
      <c r="F452" s="7" t="n">
        <f aca="false">IF(B452&lt;&gt;"",B452/$B$52,"")</f>
        <v>0.00472186599558935</v>
      </c>
    </row>
    <row r="453" customFormat="false" ht="15" hidden="false" customHeight="false" outlineLevel="0" collapsed="false">
      <c r="B453" s="4" t="n">
        <f aca="false">SUM(B443:B452)</f>
        <v>1098.5</v>
      </c>
      <c r="D453" s="5" t="n">
        <f aca="false">SUMIFS(B443:B452,D443:D452,"")</f>
        <v>1098.5</v>
      </c>
    </row>
    <row r="454" customFormat="false" ht="18.75" hidden="false" customHeight="false" outlineLevel="0" collapsed="false">
      <c r="A454" s="10" t="s">
        <v>129</v>
      </c>
      <c r="B454" s="10"/>
      <c r="C454" s="10"/>
      <c r="D454" s="10"/>
      <c r="E454" s="10"/>
      <c r="F454" s="10"/>
    </row>
    <row r="455" customFormat="false" ht="16.5" hidden="false" customHeight="false" outlineLevel="0" collapsed="false">
      <c r="A455" s="6" t="s">
        <v>20</v>
      </c>
      <c r="B455" s="1" t="n">
        <v>30</v>
      </c>
      <c r="C455" s="2" t="n">
        <v>45662</v>
      </c>
      <c r="D455" s="2"/>
      <c r="E455" s="0" t="str">
        <f aca="false">IF(D455&lt;&gt;"","Pago","Em Aberto")</f>
        <v>Em Aberto</v>
      </c>
      <c r="F455" s="7" t="n">
        <f aca="false">IF(B455&lt;&gt;"",B455/$B$52,"")</f>
        <v>0.0160972704395091</v>
      </c>
    </row>
    <row r="456" customFormat="false" ht="16.5" hidden="false" customHeight="false" outlineLevel="0" collapsed="false">
      <c r="A456" s="6" t="s">
        <v>21</v>
      </c>
      <c r="B456" s="1" t="n">
        <v>450</v>
      </c>
      <c r="C456" s="2" t="n">
        <v>45667</v>
      </c>
      <c r="D456" s="2"/>
      <c r="E456" s="0" t="str">
        <f aca="false">IF(D456&lt;&gt;"","Pago","Em Aberto")</f>
        <v>Em Aberto</v>
      </c>
      <c r="F456" s="7" t="n">
        <f aca="false">IF(B456&lt;&gt;"",B456/$B$52,"")</f>
        <v>0.241459056592637</v>
      </c>
    </row>
    <row r="457" customFormat="false" ht="16.5" hidden="false" customHeight="false" outlineLevel="0" collapsed="false">
      <c r="A457" s="6" t="s">
        <v>31</v>
      </c>
      <c r="B457" s="1" t="n">
        <v>0</v>
      </c>
      <c r="C457" s="2" t="n">
        <v>45672</v>
      </c>
      <c r="D457" s="2"/>
      <c r="E457" s="0" t="str">
        <f aca="false">IF(D457&lt;&gt;"","Pago","Em Aberto")</f>
        <v>Em Aberto</v>
      </c>
      <c r="F457" s="7" t="n">
        <f aca="false">IF(B457&lt;&gt;"",B457/$B$52,"")</f>
        <v>0</v>
      </c>
    </row>
    <row r="458" customFormat="false" ht="16.5" hidden="false" customHeight="false" outlineLevel="0" collapsed="false">
      <c r="A458" s="6" t="s">
        <v>13</v>
      </c>
      <c r="B458" s="1" t="n">
        <v>76.6</v>
      </c>
      <c r="C458" s="2" t="n">
        <v>45677</v>
      </c>
      <c r="D458" s="2"/>
      <c r="E458" s="0" t="str">
        <f aca="false">IF(D458&lt;&gt;"","Pago","Em Aberto")</f>
        <v>Em Aberto</v>
      </c>
      <c r="F458" s="7" t="n">
        <f aca="false">IF(B458&lt;&gt;"",B458/$B$52,"")</f>
        <v>0.04110169718888</v>
      </c>
    </row>
    <row r="459" customFormat="false" ht="16.5" hidden="false" customHeight="false" outlineLevel="0" collapsed="false">
      <c r="A459" s="6" t="s">
        <v>75</v>
      </c>
      <c r="B459" s="1" t="n">
        <v>0</v>
      </c>
      <c r="C459" s="2" t="n">
        <v>45682</v>
      </c>
      <c r="D459" s="2"/>
      <c r="E459" s="0" t="str">
        <f aca="false">IF(D459&lt;&gt;"","Pago","Em Aberto")</f>
        <v>Em Aberto</v>
      </c>
      <c r="F459" s="7" t="n">
        <f aca="false">IF(B459&lt;&gt;"",B459/$B$52,"")</f>
        <v>0</v>
      </c>
    </row>
    <row r="460" customFormat="false" ht="16.5" hidden="false" customHeight="false" outlineLevel="0" collapsed="false">
      <c r="A460" s="6" t="s">
        <v>6</v>
      </c>
      <c r="B460" s="1" t="n">
        <v>0</v>
      </c>
      <c r="C460" s="2" t="n">
        <v>45683</v>
      </c>
      <c r="D460" s="2"/>
      <c r="E460" s="0" t="str">
        <f aca="false">IF(D460&lt;&gt;"","Pago","Em Aberto")</f>
        <v>Em Aberto</v>
      </c>
      <c r="F460" s="7" t="n">
        <f aca="false">IF(B460&lt;&gt;"",B460/$B$52,"")</f>
        <v>0</v>
      </c>
    </row>
    <row r="461" customFormat="false" ht="16.5" hidden="false" customHeight="false" outlineLevel="0" collapsed="false">
      <c r="A461" s="6" t="s">
        <v>5</v>
      </c>
      <c r="B461" s="1" t="n">
        <v>0</v>
      </c>
      <c r="C461" s="2" t="n">
        <v>45683</v>
      </c>
      <c r="D461" s="2"/>
      <c r="E461" s="0" t="str">
        <f aca="false">IF(D461&lt;&gt;"","Pago","Em Aberto")</f>
        <v>Em Aberto</v>
      </c>
      <c r="F461" s="7" t="n">
        <f aca="false">IF(B461&lt;&gt;"",B461/$B$52,"")</f>
        <v>0</v>
      </c>
    </row>
    <row r="462" customFormat="false" ht="16.5" hidden="false" customHeight="false" outlineLevel="0" collapsed="false">
      <c r="A462" s="6" t="s">
        <v>130</v>
      </c>
      <c r="B462" s="1" t="n">
        <v>224.84</v>
      </c>
      <c r="C462" s="2" t="n">
        <v>45683</v>
      </c>
      <c r="D462" s="2"/>
      <c r="E462" s="0" t="str">
        <f aca="false">IF(D462&lt;&gt;"","Pago","Em Aberto")</f>
        <v>Em Aberto</v>
      </c>
      <c r="F462" s="7" t="n">
        <f aca="false">IF(B462&lt;&gt;"",B462/$B$52,"")</f>
        <v>0.120643676187308</v>
      </c>
    </row>
    <row r="463" customFormat="false" ht="16.5" hidden="false" customHeight="false" outlineLevel="0" collapsed="false">
      <c r="A463" s="6" t="s">
        <v>131</v>
      </c>
      <c r="B463" s="1" t="n">
        <v>179.3</v>
      </c>
      <c r="C463" s="2" t="n">
        <v>45688</v>
      </c>
      <c r="D463" s="2"/>
      <c r="E463" s="0" t="str">
        <f aca="false">IF(D463&lt;&gt;"","Pago","Em Aberto")</f>
        <v>Em Aberto</v>
      </c>
      <c r="F463" s="7" t="n">
        <f aca="false">IF(B463&lt;&gt;"",B463/$B$52,"")</f>
        <v>0.096208019660133</v>
      </c>
    </row>
    <row r="464" customFormat="false" ht="16.5" hidden="false" customHeight="false" outlineLevel="0" collapsed="false">
      <c r="A464" s="6" t="s">
        <v>18</v>
      </c>
      <c r="B464" s="1" t="n">
        <v>25</v>
      </c>
      <c r="C464" s="2" t="n">
        <v>45689</v>
      </c>
      <c r="D464" s="2"/>
      <c r="E464" s="0" t="str">
        <f aca="false">IF(D464&lt;&gt;"","Pago","Em Aberto")</f>
        <v>Em Aberto</v>
      </c>
      <c r="F464" s="7" t="n">
        <f aca="false">IF(B464&lt;&gt;"",B464/$B$52,"")</f>
        <v>0.0134143920329243</v>
      </c>
    </row>
    <row r="465" customFormat="false" ht="15" hidden="false" customHeight="false" outlineLevel="0" collapsed="false">
      <c r="B465" s="4" t="n">
        <f aca="false">SUM(B455:B464)</f>
        <v>985.74</v>
      </c>
      <c r="D465" s="5" t="n">
        <f aca="false">SUMIFS(B455:B464,D455:D464,"")</f>
        <v>985.74</v>
      </c>
    </row>
    <row r="466" customFormat="false" ht="18.75" hidden="false" customHeight="false" outlineLevel="0" collapsed="false">
      <c r="A466" s="10" t="s">
        <v>132</v>
      </c>
      <c r="B466" s="10"/>
      <c r="C466" s="10"/>
      <c r="D466" s="10"/>
      <c r="E466" s="10"/>
      <c r="F466" s="10"/>
    </row>
    <row r="467" customFormat="false" ht="16.5" hidden="false" customHeight="false" outlineLevel="0" collapsed="false">
      <c r="A467" s="6" t="s">
        <v>20</v>
      </c>
      <c r="B467" s="1" t="n">
        <v>30</v>
      </c>
      <c r="C467" s="2" t="n">
        <v>45662</v>
      </c>
      <c r="D467" s="2"/>
      <c r="E467" s="0" t="str">
        <f aca="false">IF(D467&lt;&gt;"","Pago","Em Aberto")</f>
        <v>Em Aberto</v>
      </c>
      <c r="F467" s="7" t="n">
        <f aca="false">IF(B467&lt;&gt;"",B467/$B$52,"")</f>
        <v>0.0160972704395091</v>
      </c>
    </row>
    <row r="468" customFormat="false" ht="16.5" hidden="false" customHeight="false" outlineLevel="0" collapsed="false">
      <c r="A468" s="6" t="s">
        <v>21</v>
      </c>
      <c r="B468" s="1" t="n">
        <v>450</v>
      </c>
      <c r="C468" s="2" t="n">
        <v>45667</v>
      </c>
      <c r="D468" s="2"/>
      <c r="E468" s="0" t="str">
        <f aca="false">IF(D468&lt;&gt;"","Pago","Em Aberto")</f>
        <v>Em Aberto</v>
      </c>
      <c r="F468" s="7" t="n">
        <f aca="false">IF(B468&lt;&gt;"",B468/$B$52,"")</f>
        <v>0.241459056592637</v>
      </c>
    </row>
    <row r="469" customFormat="false" ht="16.5" hidden="false" customHeight="false" outlineLevel="0" collapsed="false">
      <c r="A469" s="6" t="s">
        <v>31</v>
      </c>
      <c r="B469" s="1" t="n">
        <v>0</v>
      </c>
      <c r="C469" s="2" t="n">
        <v>45672</v>
      </c>
      <c r="D469" s="2"/>
      <c r="E469" s="0" t="str">
        <f aca="false">IF(D469&lt;&gt;"","Pago","Em Aberto")</f>
        <v>Em Aberto</v>
      </c>
      <c r="F469" s="7" t="n">
        <f aca="false">IF(B469&lt;&gt;"",B469/$B$52,"")</f>
        <v>0</v>
      </c>
    </row>
    <row r="470" customFormat="false" ht="16.5" hidden="false" customHeight="false" outlineLevel="0" collapsed="false">
      <c r="A470" s="6" t="s">
        <v>13</v>
      </c>
      <c r="B470" s="1" t="n">
        <v>76.6</v>
      </c>
      <c r="C470" s="2" t="n">
        <v>45677</v>
      </c>
      <c r="D470" s="2"/>
      <c r="E470" s="0" t="str">
        <f aca="false">IF(D470&lt;&gt;"","Pago","Em Aberto")</f>
        <v>Em Aberto</v>
      </c>
      <c r="F470" s="7" t="n">
        <f aca="false">IF(B470&lt;&gt;"",B470/$B$52,"")</f>
        <v>0.04110169718888</v>
      </c>
    </row>
    <row r="471" customFormat="false" ht="16.5" hidden="false" customHeight="false" outlineLevel="0" collapsed="false">
      <c r="A471" s="6" t="s">
        <v>75</v>
      </c>
      <c r="B471" s="1" t="n">
        <v>0</v>
      </c>
      <c r="C471" s="2" t="n">
        <v>45682</v>
      </c>
      <c r="D471" s="2"/>
      <c r="E471" s="0" t="str">
        <f aca="false">IF(D471&lt;&gt;"","Pago","Em Aberto")</f>
        <v>Em Aberto</v>
      </c>
      <c r="F471" s="7" t="n">
        <f aca="false">IF(B471&lt;&gt;"",B471/$B$52,"")</f>
        <v>0</v>
      </c>
    </row>
    <row r="472" customFormat="false" ht="16.5" hidden="false" customHeight="false" outlineLevel="0" collapsed="false">
      <c r="A472" s="6" t="s">
        <v>6</v>
      </c>
      <c r="B472" s="1" t="n">
        <v>0</v>
      </c>
      <c r="C472" s="2" t="n">
        <v>45683</v>
      </c>
      <c r="D472" s="2"/>
      <c r="E472" s="0" t="str">
        <f aca="false">IF(D472&lt;&gt;"","Pago","Em Aberto")</f>
        <v>Em Aberto</v>
      </c>
      <c r="F472" s="7" t="n">
        <f aca="false">IF(B472&lt;&gt;"",B472/$B$52,"")</f>
        <v>0</v>
      </c>
    </row>
    <row r="473" customFormat="false" ht="16.5" hidden="false" customHeight="false" outlineLevel="0" collapsed="false">
      <c r="A473" s="6" t="s">
        <v>5</v>
      </c>
      <c r="B473" s="1" t="n">
        <v>0</v>
      </c>
      <c r="C473" s="2" t="n">
        <v>45683</v>
      </c>
      <c r="D473" s="2"/>
      <c r="E473" s="0" t="str">
        <f aca="false">IF(D473&lt;&gt;"","Pago","Em Aberto")</f>
        <v>Em Aberto</v>
      </c>
      <c r="F473" s="7" t="n">
        <f aca="false">IF(B473&lt;&gt;"",B473/$B$52,"")</f>
        <v>0</v>
      </c>
    </row>
    <row r="474" customFormat="false" ht="16.5" hidden="false" customHeight="false" outlineLevel="0" collapsed="false">
      <c r="A474" s="6" t="s">
        <v>133</v>
      </c>
      <c r="B474" s="1" t="n">
        <v>0</v>
      </c>
      <c r="C474" s="2" t="n">
        <v>45683</v>
      </c>
      <c r="D474" s="2"/>
      <c r="E474" s="0" t="str">
        <f aca="false">IF(D474&lt;&gt;"","Pago","Em Aberto")</f>
        <v>Em Aberto</v>
      </c>
      <c r="F474" s="7" t="n">
        <f aca="false">IF(B474&lt;&gt;"",B474/$B$52,"")</f>
        <v>0</v>
      </c>
    </row>
    <row r="475" customFormat="false" ht="16.5" hidden="false" customHeight="false" outlineLevel="0" collapsed="false">
      <c r="A475" s="6" t="s">
        <v>134</v>
      </c>
      <c r="B475" s="1" t="n">
        <v>179.3</v>
      </c>
      <c r="C475" s="2" t="n">
        <v>45688</v>
      </c>
      <c r="D475" s="2"/>
      <c r="E475" s="0" t="str">
        <f aca="false">IF(D475&lt;&gt;"","Pago","Em Aberto")</f>
        <v>Em Aberto</v>
      </c>
      <c r="F475" s="7" t="n">
        <f aca="false">IF(B475&lt;&gt;"",B475/$B$52,"")</f>
        <v>0.096208019660133</v>
      </c>
    </row>
    <row r="476" customFormat="false" ht="16.5" hidden="false" customHeight="false" outlineLevel="0" collapsed="false">
      <c r="A476" s="6" t="s">
        <v>18</v>
      </c>
      <c r="B476" s="1" t="n">
        <v>25</v>
      </c>
      <c r="C476" s="2" t="n">
        <v>45689</v>
      </c>
      <c r="D476" s="2"/>
      <c r="E476" s="0" t="str">
        <f aca="false">IF(D476&lt;&gt;"","Pago","Em Aberto")</f>
        <v>Em Aberto</v>
      </c>
      <c r="F476" s="7" t="n">
        <f aca="false">IF(B476&lt;&gt;"",B476/$B$52,"")</f>
        <v>0.0134143920329243</v>
      </c>
    </row>
    <row r="477" customFormat="false" ht="15" hidden="false" customHeight="false" outlineLevel="0" collapsed="false">
      <c r="B477" s="4" t="n">
        <f aca="false">SUM(B467:B476)</f>
        <v>760.9</v>
      </c>
      <c r="D477" s="5" t="n">
        <f aca="false">SUMIFS(B467:B476,D467:D476,"")</f>
        <v>760.9</v>
      </c>
    </row>
    <row r="478" customFormat="false" ht="18.75" hidden="false" customHeight="false" outlineLevel="0" collapsed="false">
      <c r="A478" s="10" t="s">
        <v>135</v>
      </c>
      <c r="B478" s="10"/>
      <c r="C478" s="10"/>
      <c r="D478" s="10"/>
      <c r="E478" s="10"/>
      <c r="F478" s="10"/>
    </row>
    <row r="479" customFormat="false" ht="16.5" hidden="false" customHeight="false" outlineLevel="0" collapsed="false">
      <c r="A479" s="6" t="s">
        <v>20</v>
      </c>
      <c r="B479" s="1" t="n">
        <v>30</v>
      </c>
      <c r="C479" s="2" t="n">
        <v>45662</v>
      </c>
      <c r="D479" s="2"/>
      <c r="E479" s="0" t="str">
        <f aca="false">IF(D479&lt;&gt;"","Pago","Em Aberto")</f>
        <v>Em Aberto</v>
      </c>
      <c r="F479" s="7" t="n">
        <f aca="false">IF(B479&lt;&gt;"",B479/$B$52,"")</f>
        <v>0.0160972704395091</v>
      </c>
    </row>
    <row r="480" customFormat="false" ht="16.5" hidden="false" customHeight="false" outlineLevel="0" collapsed="false">
      <c r="A480" s="6" t="s">
        <v>21</v>
      </c>
      <c r="B480" s="1" t="n">
        <v>450</v>
      </c>
      <c r="C480" s="2" t="n">
        <v>45667</v>
      </c>
      <c r="D480" s="2"/>
      <c r="E480" s="0" t="str">
        <f aca="false">IF(D480&lt;&gt;"","Pago","Em Aberto")</f>
        <v>Em Aberto</v>
      </c>
      <c r="F480" s="7" t="n">
        <f aca="false">IF(B480&lt;&gt;"",B480/$B$52,"")</f>
        <v>0.241459056592637</v>
      </c>
    </row>
    <row r="481" customFormat="false" ht="16.5" hidden="false" customHeight="false" outlineLevel="0" collapsed="false">
      <c r="A481" s="6" t="s">
        <v>31</v>
      </c>
      <c r="B481" s="1" t="n">
        <v>0</v>
      </c>
      <c r="C481" s="2" t="n">
        <v>45672</v>
      </c>
      <c r="D481" s="2"/>
      <c r="E481" s="0" t="str">
        <f aca="false">IF(D481&lt;&gt;"","Pago","Em Aberto")</f>
        <v>Em Aberto</v>
      </c>
      <c r="F481" s="7" t="n">
        <f aca="false">IF(B481&lt;&gt;"",B481/$B$52,"")</f>
        <v>0</v>
      </c>
    </row>
    <row r="482" customFormat="false" ht="16.5" hidden="false" customHeight="false" outlineLevel="0" collapsed="false">
      <c r="A482" s="6" t="s">
        <v>13</v>
      </c>
      <c r="B482" s="1" t="n">
        <v>76.6</v>
      </c>
      <c r="C482" s="2" t="n">
        <v>45677</v>
      </c>
      <c r="D482" s="2"/>
      <c r="E482" s="0" t="str">
        <f aca="false">IF(D482&lt;&gt;"","Pago","Em Aberto")</f>
        <v>Em Aberto</v>
      </c>
      <c r="F482" s="7" t="n">
        <f aca="false">IF(B482&lt;&gt;"",B482/$B$52,"")</f>
        <v>0.04110169718888</v>
      </c>
    </row>
    <row r="483" customFormat="false" ht="16.5" hidden="false" customHeight="false" outlineLevel="0" collapsed="false">
      <c r="A483" s="6" t="s">
        <v>75</v>
      </c>
      <c r="B483" s="1" t="n">
        <v>0</v>
      </c>
      <c r="C483" s="2" t="n">
        <v>45682</v>
      </c>
      <c r="D483" s="2"/>
      <c r="E483" s="0" t="str">
        <f aca="false">IF(D483&lt;&gt;"","Pago","Em Aberto")</f>
        <v>Em Aberto</v>
      </c>
      <c r="F483" s="7" t="n">
        <f aca="false">IF(B483&lt;&gt;"",B483/$B$52,"")</f>
        <v>0</v>
      </c>
    </row>
    <row r="484" customFormat="false" ht="16.5" hidden="false" customHeight="false" outlineLevel="0" collapsed="false">
      <c r="A484" s="6" t="s">
        <v>6</v>
      </c>
      <c r="B484" s="1" t="n">
        <v>0</v>
      </c>
      <c r="C484" s="2" t="n">
        <v>45683</v>
      </c>
      <c r="D484" s="2"/>
      <c r="E484" s="0" t="str">
        <f aca="false">IF(D484&lt;&gt;"","Pago","Em Aberto")</f>
        <v>Em Aberto</v>
      </c>
      <c r="F484" s="7" t="n">
        <f aca="false">IF(B484&lt;&gt;"",B484/$B$52,"")</f>
        <v>0</v>
      </c>
    </row>
    <row r="485" customFormat="false" ht="16.5" hidden="false" customHeight="false" outlineLevel="0" collapsed="false">
      <c r="A485" s="6" t="s">
        <v>5</v>
      </c>
      <c r="B485" s="1" t="n">
        <v>0</v>
      </c>
      <c r="C485" s="2" t="n">
        <v>45683</v>
      </c>
      <c r="D485" s="2"/>
      <c r="E485" s="0" t="str">
        <f aca="false">IF(D485&lt;&gt;"","Pago","Em Aberto")</f>
        <v>Em Aberto</v>
      </c>
      <c r="F485" s="7" t="n">
        <f aca="false">IF(B485&lt;&gt;"",B485/$B$52,"")</f>
        <v>0</v>
      </c>
    </row>
    <row r="486" customFormat="false" ht="16.5" hidden="false" customHeight="false" outlineLevel="0" collapsed="false">
      <c r="A486" s="6" t="s">
        <v>133</v>
      </c>
      <c r="B486" s="1" t="n">
        <v>0</v>
      </c>
      <c r="C486" s="2" t="n">
        <v>45683</v>
      </c>
      <c r="D486" s="2"/>
      <c r="E486" s="0" t="str">
        <f aca="false">IF(D486&lt;&gt;"","Pago","Em Aberto")</f>
        <v>Em Aberto</v>
      </c>
      <c r="F486" s="7" t="n">
        <f aca="false">IF(B486&lt;&gt;"",B486/$B$52,"")</f>
        <v>0</v>
      </c>
    </row>
    <row r="487" customFormat="false" ht="16.5" hidden="false" customHeight="false" outlineLevel="0" collapsed="false">
      <c r="A487" s="6" t="s">
        <v>136</v>
      </c>
      <c r="B487" s="1" t="n">
        <v>179.3</v>
      </c>
      <c r="C487" s="2" t="n">
        <v>45688</v>
      </c>
      <c r="D487" s="2"/>
      <c r="E487" s="0" t="str">
        <f aca="false">IF(D487&lt;&gt;"","Pago","Em Aberto")</f>
        <v>Em Aberto</v>
      </c>
      <c r="F487" s="7" t="n">
        <f aca="false">IF(B487&lt;&gt;"",B487/$B$52,"")</f>
        <v>0.096208019660133</v>
      </c>
    </row>
    <row r="488" customFormat="false" ht="16.5" hidden="false" customHeight="false" outlineLevel="0" collapsed="false">
      <c r="A488" s="6" t="s">
        <v>18</v>
      </c>
      <c r="B488" s="1" t="n">
        <v>25</v>
      </c>
      <c r="C488" s="2" t="n">
        <v>45689</v>
      </c>
      <c r="D488" s="2"/>
      <c r="E488" s="0" t="str">
        <f aca="false">IF(D488&lt;&gt;"","Pago","Em Aberto")</f>
        <v>Em Aberto</v>
      </c>
      <c r="F488" s="7" t="n">
        <f aca="false">IF(B488&lt;&gt;"",B488/$B$52,"")</f>
        <v>0.0134143920329243</v>
      </c>
    </row>
    <row r="489" customFormat="false" ht="15" hidden="false" customHeight="false" outlineLevel="0" collapsed="false">
      <c r="B489" s="4" t="n">
        <f aca="false">SUM(B479:B488)</f>
        <v>760.9</v>
      </c>
      <c r="D489" s="5" t="n">
        <f aca="false">SUMIFS(B479:B488,D479:D488,"")</f>
        <v>760.9</v>
      </c>
    </row>
    <row r="490" customFormat="false" ht="18.75" hidden="false" customHeight="false" outlineLevel="0" collapsed="false">
      <c r="A490" s="10" t="s">
        <v>137</v>
      </c>
      <c r="B490" s="10"/>
      <c r="C490" s="10"/>
      <c r="D490" s="10"/>
      <c r="E490" s="10"/>
      <c r="F490" s="10"/>
    </row>
    <row r="491" customFormat="false" ht="16.5" hidden="false" customHeight="false" outlineLevel="0" collapsed="false">
      <c r="A491" s="6" t="s">
        <v>20</v>
      </c>
      <c r="B491" s="1" t="n">
        <v>30</v>
      </c>
      <c r="C491" s="2" t="n">
        <v>45662</v>
      </c>
      <c r="D491" s="2"/>
      <c r="E491" s="0" t="str">
        <f aca="false">IF(D491&lt;&gt;"","Pago","Em Aberto")</f>
        <v>Em Aberto</v>
      </c>
      <c r="F491" s="7" t="n">
        <f aca="false">IF(B491&lt;&gt;"",B491/$B$52,"")</f>
        <v>0.0160972704395091</v>
      </c>
    </row>
    <row r="492" customFormat="false" ht="16.5" hidden="false" customHeight="false" outlineLevel="0" collapsed="false">
      <c r="A492" s="6" t="s">
        <v>21</v>
      </c>
      <c r="B492" s="1" t="n">
        <v>450</v>
      </c>
      <c r="C492" s="2" t="n">
        <v>45667</v>
      </c>
      <c r="D492" s="2"/>
      <c r="E492" s="0" t="str">
        <f aca="false">IF(D492&lt;&gt;"","Pago","Em Aberto")</f>
        <v>Em Aberto</v>
      </c>
      <c r="F492" s="7" t="n">
        <f aca="false">IF(B492&lt;&gt;"",B492/$B$52,"")</f>
        <v>0.241459056592637</v>
      </c>
    </row>
    <row r="493" customFormat="false" ht="16.5" hidden="false" customHeight="false" outlineLevel="0" collapsed="false">
      <c r="A493" s="6" t="s">
        <v>31</v>
      </c>
      <c r="B493" s="1" t="n">
        <v>0</v>
      </c>
      <c r="C493" s="2" t="n">
        <v>45672</v>
      </c>
      <c r="D493" s="2"/>
      <c r="E493" s="0" t="str">
        <f aca="false">IF(D493&lt;&gt;"","Pago","Em Aberto")</f>
        <v>Em Aberto</v>
      </c>
      <c r="F493" s="7" t="n">
        <f aca="false">IF(B493&lt;&gt;"",B493/$B$52,"")</f>
        <v>0</v>
      </c>
    </row>
    <row r="494" customFormat="false" ht="16.5" hidden="false" customHeight="false" outlineLevel="0" collapsed="false">
      <c r="A494" s="6" t="s">
        <v>13</v>
      </c>
      <c r="B494" s="1" t="n">
        <v>76.6</v>
      </c>
      <c r="C494" s="2" t="n">
        <v>45677</v>
      </c>
      <c r="D494" s="2"/>
      <c r="E494" s="0" t="str">
        <f aca="false">IF(D494&lt;&gt;"","Pago","Em Aberto")</f>
        <v>Em Aberto</v>
      </c>
      <c r="F494" s="7" t="n">
        <f aca="false">IF(B494&lt;&gt;"",B494/$B$52,"")</f>
        <v>0.04110169718888</v>
      </c>
    </row>
    <row r="495" customFormat="false" ht="16.5" hidden="false" customHeight="false" outlineLevel="0" collapsed="false">
      <c r="A495" s="6" t="s">
        <v>75</v>
      </c>
      <c r="B495" s="1" t="n">
        <v>0</v>
      </c>
      <c r="C495" s="2" t="n">
        <v>45682</v>
      </c>
      <c r="D495" s="2"/>
      <c r="E495" s="0" t="str">
        <f aca="false">IF(D495&lt;&gt;"","Pago","Em Aberto")</f>
        <v>Em Aberto</v>
      </c>
      <c r="F495" s="7" t="n">
        <f aca="false">IF(B495&lt;&gt;"",B495/$B$52,"")</f>
        <v>0</v>
      </c>
    </row>
    <row r="496" customFormat="false" ht="16.5" hidden="false" customHeight="false" outlineLevel="0" collapsed="false">
      <c r="A496" s="6" t="s">
        <v>6</v>
      </c>
      <c r="B496" s="1" t="n">
        <v>0</v>
      </c>
      <c r="C496" s="2" t="n">
        <v>45683</v>
      </c>
      <c r="D496" s="2"/>
      <c r="E496" s="0" t="str">
        <f aca="false">IF(D496&lt;&gt;"","Pago","Em Aberto")</f>
        <v>Em Aberto</v>
      </c>
      <c r="F496" s="7" t="n">
        <f aca="false">IF(B496&lt;&gt;"",B496/$B$52,"")</f>
        <v>0</v>
      </c>
    </row>
    <row r="497" customFormat="false" ht="16.5" hidden="false" customHeight="false" outlineLevel="0" collapsed="false">
      <c r="A497" s="6" t="s">
        <v>5</v>
      </c>
      <c r="B497" s="1" t="n">
        <v>0</v>
      </c>
      <c r="C497" s="2" t="n">
        <v>45683</v>
      </c>
      <c r="D497" s="2"/>
      <c r="E497" s="0" t="str">
        <f aca="false">IF(D497&lt;&gt;"","Pago","Em Aberto")</f>
        <v>Em Aberto</v>
      </c>
      <c r="F497" s="7" t="n">
        <f aca="false">IF(B497&lt;&gt;"",B497/$B$52,"")</f>
        <v>0</v>
      </c>
    </row>
    <row r="498" customFormat="false" ht="16.5" hidden="false" customHeight="false" outlineLevel="0" collapsed="false">
      <c r="A498" s="6" t="s">
        <v>133</v>
      </c>
      <c r="B498" s="1" t="n">
        <v>0</v>
      </c>
      <c r="C498" s="2" t="n">
        <v>45683</v>
      </c>
      <c r="D498" s="2"/>
      <c r="E498" s="0" t="str">
        <f aca="false">IF(D498&lt;&gt;"","Pago","Em Aberto")</f>
        <v>Em Aberto</v>
      </c>
      <c r="F498" s="7" t="n">
        <f aca="false">IF(B498&lt;&gt;"",B498/$B$52,"")</f>
        <v>0</v>
      </c>
    </row>
    <row r="499" customFormat="false" ht="16.5" hidden="false" customHeight="false" outlineLevel="0" collapsed="false">
      <c r="A499" s="6" t="s">
        <v>18</v>
      </c>
      <c r="B499" s="1" t="n">
        <v>25</v>
      </c>
      <c r="C499" s="2" t="n">
        <v>45689</v>
      </c>
      <c r="D499" s="2"/>
      <c r="E499" s="0" t="str">
        <f aca="false">IF(D499&lt;&gt;"","Pago","Em Aberto")</f>
        <v>Em Aberto</v>
      </c>
      <c r="F499" s="7" t="n">
        <f aca="false">IF(B499&lt;&gt;"",B499/$B$52,"")</f>
        <v>0.0134143920329243</v>
      </c>
    </row>
    <row r="500" customFormat="false" ht="15" hidden="false" customHeight="false" outlineLevel="0" collapsed="false">
      <c r="B500" s="4" t="n">
        <f aca="false">SUM(B491:B499)</f>
        <v>581.6</v>
      </c>
      <c r="D500" s="5" t="n">
        <f aca="false">SUMIFS(B491:B499,D491:D499,"")</f>
        <v>581.6</v>
      </c>
    </row>
  </sheetData>
  <mergeCells count="32">
    <mergeCell ref="A53:F53"/>
    <mergeCell ref="A70:F70"/>
    <mergeCell ref="A86:F86"/>
    <mergeCell ref="A102:F102"/>
    <mergeCell ref="A118:F118"/>
    <mergeCell ref="A134:F134"/>
    <mergeCell ref="A150:F150"/>
    <mergeCell ref="A166:F166"/>
    <mergeCell ref="A182:F182"/>
    <mergeCell ref="A196:F196"/>
    <mergeCell ref="A210:F210"/>
    <mergeCell ref="A224:F224"/>
    <mergeCell ref="A238:F238"/>
    <mergeCell ref="A252:F252"/>
    <mergeCell ref="A266:F266"/>
    <mergeCell ref="A280:F280"/>
    <mergeCell ref="A294:F294"/>
    <mergeCell ref="A308:F308"/>
    <mergeCell ref="A322:F322"/>
    <mergeCell ref="A336:F336"/>
    <mergeCell ref="A350:F350"/>
    <mergeCell ref="A364:F364"/>
    <mergeCell ref="A377:F377"/>
    <mergeCell ref="A390:F390"/>
    <mergeCell ref="A403:F403"/>
    <mergeCell ref="A416:F416"/>
    <mergeCell ref="A429:F429"/>
    <mergeCell ref="A442:F442"/>
    <mergeCell ref="A454:F454"/>
    <mergeCell ref="A466:F466"/>
    <mergeCell ref="A478:F478"/>
    <mergeCell ref="A490:F490"/>
  </mergeCells>
  <conditionalFormatting sqref="F36:F51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{72E0BF50-8D61-4130-A74D-DB4F75332F52}</x14:id>
        </ext>
      </extLst>
    </cfRule>
  </conditionalFormatting>
  <conditionalFormatting sqref="F54:F68">
    <cfRule type="dataBar" priority="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{B748D7FC-CD32-489E-8465-5FBDADEEF7D8}</x14:id>
        </ext>
      </extLst>
    </cfRule>
  </conditionalFormatting>
  <conditionalFormatting sqref="F71:F84">
    <cfRule type="dataBar" priority="4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{47219140-7550-4488-BF38-3A16A8BB15CC}</x14:id>
        </ext>
      </extLst>
    </cfRule>
  </conditionalFormatting>
  <conditionalFormatting sqref="F87:F100">
    <cfRule type="dataBar" priority="5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{4B1D51A2-8AA8-4012-ABED-F7E96D64B771}</x14:id>
        </ext>
      </extLst>
    </cfRule>
  </conditionalFormatting>
  <conditionalFormatting sqref="F103:F116">
    <cfRule type="dataBar" priority="6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{5720507C-FD85-4B1C-A3E2-A4BE89C0AF55}</x14:id>
        </ext>
      </extLst>
    </cfRule>
  </conditionalFormatting>
  <conditionalFormatting sqref="F119:F132">
    <cfRule type="dataBar" priority="7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{B170125B-68A9-4DE6-A2FF-A367BAEE79F3}</x14:id>
        </ext>
      </extLst>
    </cfRule>
  </conditionalFormatting>
  <conditionalFormatting sqref="F135:F148">
    <cfRule type="dataBar" priority="8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{62E448C7-34FC-4662-92A6-9EC69165F072}</x14:id>
        </ext>
      </extLst>
    </cfRule>
  </conditionalFormatting>
  <conditionalFormatting sqref="F151:F154 F156:F164">
    <cfRule type="dataBar" priority="9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{26522074-8B45-4C22-9BBA-79B9E46DB27C}</x14:id>
        </ext>
      </extLst>
    </cfRule>
  </conditionalFormatting>
  <conditionalFormatting sqref="F155">
    <cfRule type="dataBar" priority="10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{203B5A99-EBC0-4F4B-9875-50FCED8A0057}</x14:id>
        </ext>
      </extLst>
    </cfRule>
  </conditionalFormatting>
  <conditionalFormatting sqref="F167:F170 F172:F180">
    <cfRule type="dataBar" priority="11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{DCE4138D-E39E-4C59-BDA9-3EB16D46B1C2}</x14:id>
        </ext>
      </extLst>
    </cfRule>
  </conditionalFormatting>
  <conditionalFormatting sqref="F171">
    <cfRule type="dataBar" priority="1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{7B1B5082-C55B-4FA2-9D2C-CF3C3F2F5D98}</x14:id>
        </ext>
      </extLst>
    </cfRule>
  </conditionalFormatting>
  <conditionalFormatting sqref="F186">
    <cfRule type="dataBar" priority="1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{71D3C6C4-DF3C-4318-9656-459C5F954AC5}</x14:id>
        </ext>
      </extLst>
    </cfRule>
  </conditionalFormatting>
  <conditionalFormatting sqref="F187:F194 F183:F185">
    <cfRule type="dataBar" priority="14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{172D9D68-81AF-4142-A1B2-E4FFF35EC328}</x14:id>
        </ext>
      </extLst>
    </cfRule>
  </conditionalFormatting>
  <conditionalFormatting sqref="F200">
    <cfRule type="dataBar" priority="15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{F787B19E-CF1E-49BF-8320-F461A2B6A2BD}</x14:id>
        </ext>
      </extLst>
    </cfRule>
  </conditionalFormatting>
  <conditionalFormatting sqref="F201:F208 F197:F199">
    <cfRule type="dataBar" priority="16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{EC9542E1-C92E-4AB0-9EBC-F38C68B3A5D2}</x14:id>
        </ext>
      </extLst>
    </cfRule>
  </conditionalFormatting>
  <conditionalFormatting sqref="F214">
    <cfRule type="dataBar" priority="17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{63ABA4F6-6B45-42E5-8578-338D46659094}</x14:id>
        </ext>
      </extLst>
    </cfRule>
  </conditionalFormatting>
  <conditionalFormatting sqref="F215:F222 F211:F213">
    <cfRule type="dataBar" priority="18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{3C112DAB-6262-47BD-A338-4E66A01070DF}</x14:id>
        </ext>
      </extLst>
    </cfRule>
  </conditionalFormatting>
  <conditionalFormatting sqref="F228">
    <cfRule type="dataBar" priority="19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{AC00A6BA-B44D-436C-B763-256AF078376E}</x14:id>
        </ext>
      </extLst>
    </cfRule>
  </conditionalFormatting>
  <conditionalFormatting sqref="F229:F236 F225:F227">
    <cfRule type="dataBar" priority="20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{D428B7B8-89BE-4989-86C4-144C1BC0CFB8}</x14:id>
        </ext>
      </extLst>
    </cfRule>
  </conditionalFormatting>
  <conditionalFormatting sqref="F242">
    <cfRule type="dataBar" priority="21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{98D8D074-12BF-4C80-A9F5-5B1AF7A9CD1F}</x14:id>
        </ext>
      </extLst>
    </cfRule>
  </conditionalFormatting>
  <conditionalFormatting sqref="F243:F250 F239:F241">
    <cfRule type="dataBar" priority="2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{958BFC61-5EB8-44F6-8F97-439660AC7112}</x14:id>
        </ext>
      </extLst>
    </cfRule>
  </conditionalFormatting>
  <conditionalFormatting sqref="F256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{2CED9331-18D9-43F0-8E36-4D244FD03A9F}</x14:id>
        </ext>
      </extLst>
    </cfRule>
  </conditionalFormatting>
  <conditionalFormatting sqref="F257:F264 F253:F255">
    <cfRule type="dataBar" priority="24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{ED10C163-C0FD-4C84-9777-402D44606BE6}</x14:id>
        </ext>
      </extLst>
    </cfRule>
  </conditionalFormatting>
  <conditionalFormatting sqref="F270">
    <cfRule type="dataBar" priority="25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{E2FDC9B9-F481-4CD6-935E-632E3186231E}</x14:id>
        </ext>
      </extLst>
    </cfRule>
  </conditionalFormatting>
  <conditionalFormatting sqref="F271:F278 F267:F269">
    <cfRule type="dataBar" priority="26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{C754CF2B-61F0-4275-B4D4-00D286E2E8D2}</x14:id>
        </ext>
      </extLst>
    </cfRule>
  </conditionalFormatting>
  <conditionalFormatting sqref="F284">
    <cfRule type="dataBar" priority="27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{A3B7E859-A8C2-422A-BFAF-54787D47ADDC}</x14:id>
        </ext>
      </extLst>
    </cfRule>
  </conditionalFormatting>
  <conditionalFormatting sqref="F285:F292 F281:F283">
    <cfRule type="dataBar" priority="28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{E97284C6-DE80-41AB-9152-62364DAE6B69}</x14:id>
        </ext>
      </extLst>
    </cfRule>
  </conditionalFormatting>
  <conditionalFormatting sqref="F298">
    <cfRule type="dataBar" priority="29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{B070869E-8D66-4EB8-BDB4-F6DF2DCAF8C6}</x14:id>
        </ext>
      </extLst>
    </cfRule>
  </conditionalFormatting>
  <conditionalFormatting sqref="F299:F306 F295:F297">
    <cfRule type="dataBar" priority="30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{5479C035-859B-4090-9884-E8B16FC8CDAD}</x14:id>
        </ext>
      </extLst>
    </cfRule>
  </conditionalFormatting>
  <conditionalFormatting sqref="F312">
    <cfRule type="dataBar" priority="31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{8E41333A-207E-468D-8EAC-A95E9BC083B7}</x14:id>
        </ext>
      </extLst>
    </cfRule>
  </conditionalFormatting>
  <conditionalFormatting sqref="F313:F320 F309:F311">
    <cfRule type="dataBar" priority="3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{E299C596-3811-491E-AB96-11624B826265}</x14:id>
        </ext>
      </extLst>
    </cfRule>
  </conditionalFormatting>
  <conditionalFormatting sqref="F326">
    <cfRule type="dataBar" priority="3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{3327C220-963D-45DA-BEA0-1A48A499EC13}</x14:id>
        </ext>
      </extLst>
    </cfRule>
  </conditionalFormatting>
  <conditionalFormatting sqref="F327:F334 F323:F325">
    <cfRule type="dataBar" priority="34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{73C71975-1F58-4D4B-9090-383E3522F1B9}</x14:id>
        </ext>
      </extLst>
    </cfRule>
  </conditionalFormatting>
  <conditionalFormatting sqref="F340">
    <cfRule type="dataBar" priority="35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{89AB9F62-5CCC-4523-A716-382A3BCD7CC9}</x14:id>
        </ext>
      </extLst>
    </cfRule>
  </conditionalFormatting>
  <conditionalFormatting sqref="F341:F348 F337:F339">
    <cfRule type="dataBar" priority="36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{80ED6EA0-4D9D-4179-A7D3-77898011EF40}</x14:id>
        </ext>
      </extLst>
    </cfRule>
  </conditionalFormatting>
  <conditionalFormatting sqref="F354">
    <cfRule type="dataBar" priority="37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{49C7F664-42EF-405C-B253-91BEE4445258}</x14:id>
        </ext>
      </extLst>
    </cfRule>
  </conditionalFormatting>
  <conditionalFormatting sqref="F355:F362 F351:F353">
    <cfRule type="dataBar" priority="38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{D5322AB1-1080-4EE6-8C69-903E6760AE3C}</x14:id>
        </ext>
      </extLst>
    </cfRule>
  </conditionalFormatting>
  <conditionalFormatting sqref="F365:F375">
    <cfRule type="dataBar" priority="39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{8043178E-3426-4DFA-8AF7-87B7EBE3E9A4}</x14:id>
        </ext>
      </extLst>
    </cfRule>
  </conditionalFormatting>
  <conditionalFormatting sqref="F378:F388">
    <cfRule type="dataBar" priority="40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{10414C3C-34AD-4EA6-B781-A015E0A22EB1}</x14:id>
        </ext>
      </extLst>
    </cfRule>
  </conditionalFormatting>
  <conditionalFormatting sqref="F391:F401">
    <cfRule type="dataBar" priority="41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{EB7FF8FB-6016-4CB7-A046-B38847908017}</x14:id>
        </ext>
      </extLst>
    </cfRule>
  </conditionalFormatting>
  <conditionalFormatting sqref="F404:F414">
    <cfRule type="dataBar" priority="4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{493CF742-4337-4D1A-A930-B5D6523CDC3F}</x14:id>
        </ext>
      </extLst>
    </cfRule>
  </conditionalFormatting>
  <conditionalFormatting sqref="F417:F427">
    <cfRule type="dataBar" priority="4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{6574CDE0-FD28-4011-9139-41304CA6B1F9}</x14:id>
        </ext>
      </extLst>
    </cfRule>
  </conditionalFormatting>
  <conditionalFormatting sqref="F430:F440">
    <cfRule type="dataBar" priority="44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{F0AF56D9-50B3-43B8-B99E-B925B6655EED}</x14:id>
        </ext>
      </extLst>
    </cfRule>
  </conditionalFormatting>
  <conditionalFormatting sqref="F443:F452">
    <cfRule type="dataBar" priority="45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{80A0EE56-C47A-4344-9CBD-997970BEFE1C}</x14:id>
        </ext>
      </extLst>
    </cfRule>
  </conditionalFormatting>
  <conditionalFormatting sqref="F455:F464">
    <cfRule type="dataBar" priority="46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{FD35D0FF-323D-4E88-B964-DCBF68C8F480}</x14:id>
        </ext>
      </extLst>
    </cfRule>
  </conditionalFormatting>
  <conditionalFormatting sqref="F467:F476">
    <cfRule type="dataBar" priority="47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{76F846C0-ADDA-4129-99AA-DE25868E8BE8}</x14:id>
        </ext>
      </extLst>
    </cfRule>
  </conditionalFormatting>
  <conditionalFormatting sqref="F479:F488">
    <cfRule type="dataBar" priority="48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{2397CCE6-0064-4DB0-8073-24836D7F2B76}</x14:id>
        </ext>
      </extLst>
    </cfRule>
  </conditionalFormatting>
  <conditionalFormatting sqref="F491:F499">
    <cfRule type="dataBar" priority="49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{B111F07B-7087-4218-83FC-B0E0BECE209C}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E0BF50-8D61-4130-A74D-DB4F75332F52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F36:F51</xm:sqref>
        </x14:conditionalFormatting>
        <x14:conditionalFormatting xmlns:xm="http://schemas.microsoft.com/office/excel/2006/main">
          <x14:cfRule type="dataBar" id="{B748D7FC-CD32-489E-8465-5FBDADEEF7D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F54:F68</xm:sqref>
        </x14:conditionalFormatting>
        <x14:conditionalFormatting xmlns:xm="http://schemas.microsoft.com/office/excel/2006/main">
          <x14:cfRule type="dataBar" id="{47219140-7550-4488-BF38-3A16A8BB15C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F71:F84</xm:sqref>
        </x14:conditionalFormatting>
        <x14:conditionalFormatting xmlns:xm="http://schemas.microsoft.com/office/excel/2006/main">
          <x14:cfRule type="dataBar" id="{4B1D51A2-8AA8-4012-ABED-F7E96D64B771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F87:F100</xm:sqref>
        </x14:conditionalFormatting>
        <x14:conditionalFormatting xmlns:xm="http://schemas.microsoft.com/office/excel/2006/main">
          <x14:cfRule type="dataBar" id="{5720507C-FD85-4B1C-A3E2-A4BE89C0AF5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F103:F116</xm:sqref>
        </x14:conditionalFormatting>
        <x14:conditionalFormatting xmlns:xm="http://schemas.microsoft.com/office/excel/2006/main">
          <x14:cfRule type="dataBar" id="{B170125B-68A9-4DE6-A2FF-A367BAEE79F3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F119:F132</xm:sqref>
        </x14:conditionalFormatting>
        <x14:conditionalFormatting xmlns:xm="http://schemas.microsoft.com/office/excel/2006/main">
          <x14:cfRule type="dataBar" id="{62E448C7-34FC-4662-92A6-9EC69165F072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F135:F148</xm:sqref>
        </x14:conditionalFormatting>
        <x14:conditionalFormatting xmlns:xm="http://schemas.microsoft.com/office/excel/2006/main">
          <x14:cfRule type="dataBar" id="{26522074-8B45-4C22-9BBA-79B9E46DB27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F151:F154 F156:F164</xm:sqref>
        </x14:conditionalFormatting>
        <x14:conditionalFormatting xmlns:xm="http://schemas.microsoft.com/office/excel/2006/main">
          <x14:cfRule type="dataBar" id="{203B5A99-EBC0-4F4B-9875-50FCED8A005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F155</xm:sqref>
        </x14:conditionalFormatting>
        <x14:conditionalFormatting xmlns:xm="http://schemas.microsoft.com/office/excel/2006/main">
          <x14:cfRule type="dataBar" id="{DCE4138D-E39E-4C59-BDA9-3EB16D46B1C2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F167:F170 F172:F180</xm:sqref>
        </x14:conditionalFormatting>
        <x14:conditionalFormatting xmlns:xm="http://schemas.microsoft.com/office/excel/2006/main">
          <x14:cfRule type="dataBar" id="{7B1B5082-C55B-4FA2-9D2C-CF3C3F2F5D9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F171</xm:sqref>
        </x14:conditionalFormatting>
        <x14:conditionalFormatting xmlns:xm="http://schemas.microsoft.com/office/excel/2006/main">
          <x14:cfRule type="dataBar" id="{71D3C6C4-DF3C-4318-9656-459C5F954AC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F186</xm:sqref>
        </x14:conditionalFormatting>
        <x14:conditionalFormatting xmlns:xm="http://schemas.microsoft.com/office/excel/2006/main">
          <x14:cfRule type="dataBar" id="{172D9D68-81AF-4142-A1B2-E4FFF35EC32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F187:F194 F183:F185</xm:sqref>
        </x14:conditionalFormatting>
        <x14:conditionalFormatting xmlns:xm="http://schemas.microsoft.com/office/excel/2006/main">
          <x14:cfRule type="dataBar" id="{F787B19E-CF1E-49BF-8320-F461A2B6A2BD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F200</xm:sqref>
        </x14:conditionalFormatting>
        <x14:conditionalFormatting xmlns:xm="http://schemas.microsoft.com/office/excel/2006/main">
          <x14:cfRule type="dataBar" id="{EC9542E1-C92E-4AB0-9EBC-F38C68B3A5D2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F201:F208 F197:F199</xm:sqref>
        </x14:conditionalFormatting>
        <x14:conditionalFormatting xmlns:xm="http://schemas.microsoft.com/office/excel/2006/main">
          <x14:cfRule type="dataBar" id="{63ABA4F6-6B45-42E5-8578-338D46659094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F214</xm:sqref>
        </x14:conditionalFormatting>
        <x14:conditionalFormatting xmlns:xm="http://schemas.microsoft.com/office/excel/2006/main">
          <x14:cfRule type="dataBar" id="{3C112DAB-6262-47BD-A338-4E66A01070DF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F215:F222 F211:F213</xm:sqref>
        </x14:conditionalFormatting>
        <x14:conditionalFormatting xmlns:xm="http://schemas.microsoft.com/office/excel/2006/main">
          <x14:cfRule type="dataBar" id="{AC00A6BA-B44D-436C-B763-256AF078376E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F228</xm:sqref>
        </x14:conditionalFormatting>
        <x14:conditionalFormatting xmlns:xm="http://schemas.microsoft.com/office/excel/2006/main">
          <x14:cfRule type="dataBar" id="{D428B7B8-89BE-4989-86C4-144C1BC0CFB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F229:F236 F225:F227</xm:sqref>
        </x14:conditionalFormatting>
        <x14:conditionalFormatting xmlns:xm="http://schemas.microsoft.com/office/excel/2006/main">
          <x14:cfRule type="dataBar" id="{98D8D074-12BF-4C80-A9F5-5B1AF7A9CD1F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F242</xm:sqref>
        </x14:conditionalFormatting>
        <x14:conditionalFormatting xmlns:xm="http://schemas.microsoft.com/office/excel/2006/main">
          <x14:cfRule type="dataBar" id="{958BFC61-5EB8-44F6-8F97-439660AC7112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F243:F250 F239:F241</xm:sqref>
        </x14:conditionalFormatting>
        <x14:conditionalFormatting xmlns:xm="http://schemas.microsoft.com/office/excel/2006/main">
          <x14:cfRule type="dataBar" id="{2CED9331-18D9-43F0-8E36-4D244FD03A9F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F256</xm:sqref>
        </x14:conditionalFormatting>
        <x14:conditionalFormatting xmlns:xm="http://schemas.microsoft.com/office/excel/2006/main">
          <x14:cfRule type="dataBar" id="{ED10C163-C0FD-4C84-9777-402D44606BE6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F257:F264 F253:F255</xm:sqref>
        </x14:conditionalFormatting>
        <x14:conditionalFormatting xmlns:xm="http://schemas.microsoft.com/office/excel/2006/main">
          <x14:cfRule type="dataBar" id="{E2FDC9B9-F481-4CD6-935E-632E3186231E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F270</xm:sqref>
        </x14:conditionalFormatting>
        <x14:conditionalFormatting xmlns:xm="http://schemas.microsoft.com/office/excel/2006/main">
          <x14:cfRule type="dataBar" id="{C754CF2B-61F0-4275-B4D4-00D286E2E8D2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F271:F278 F267:F269</xm:sqref>
        </x14:conditionalFormatting>
        <x14:conditionalFormatting xmlns:xm="http://schemas.microsoft.com/office/excel/2006/main">
          <x14:cfRule type="dataBar" id="{A3B7E859-A8C2-422A-BFAF-54787D47ADD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F284</xm:sqref>
        </x14:conditionalFormatting>
        <x14:conditionalFormatting xmlns:xm="http://schemas.microsoft.com/office/excel/2006/main">
          <x14:cfRule type="dataBar" id="{E97284C6-DE80-41AB-9152-62364DAE6B6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F285:F292 F281:F283</xm:sqref>
        </x14:conditionalFormatting>
        <x14:conditionalFormatting xmlns:xm="http://schemas.microsoft.com/office/excel/2006/main">
          <x14:cfRule type="dataBar" id="{B070869E-8D66-4EB8-BDB4-F6DF2DCAF8C6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F298</xm:sqref>
        </x14:conditionalFormatting>
        <x14:conditionalFormatting xmlns:xm="http://schemas.microsoft.com/office/excel/2006/main">
          <x14:cfRule type="dataBar" id="{5479C035-859B-4090-9884-E8B16FC8CDAD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F299:F306 F295:F297</xm:sqref>
        </x14:conditionalFormatting>
        <x14:conditionalFormatting xmlns:xm="http://schemas.microsoft.com/office/excel/2006/main">
          <x14:cfRule type="dataBar" id="{8E41333A-207E-468D-8EAC-A95E9BC083B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F312</xm:sqref>
        </x14:conditionalFormatting>
        <x14:conditionalFormatting xmlns:xm="http://schemas.microsoft.com/office/excel/2006/main">
          <x14:cfRule type="dataBar" id="{E299C596-3811-491E-AB96-11624B82626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F313:F320 F309:F311</xm:sqref>
        </x14:conditionalFormatting>
        <x14:conditionalFormatting xmlns:xm="http://schemas.microsoft.com/office/excel/2006/main">
          <x14:cfRule type="dataBar" id="{3327C220-963D-45DA-BEA0-1A48A499EC13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F326</xm:sqref>
        </x14:conditionalFormatting>
        <x14:conditionalFormatting xmlns:xm="http://schemas.microsoft.com/office/excel/2006/main">
          <x14:cfRule type="dataBar" id="{73C71975-1F58-4D4B-9090-383E3522F1B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F327:F334 F323:F325</xm:sqref>
        </x14:conditionalFormatting>
        <x14:conditionalFormatting xmlns:xm="http://schemas.microsoft.com/office/excel/2006/main">
          <x14:cfRule type="dataBar" id="{89AB9F62-5CCC-4523-A716-382A3BCD7CC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F340</xm:sqref>
        </x14:conditionalFormatting>
        <x14:conditionalFormatting xmlns:xm="http://schemas.microsoft.com/office/excel/2006/main">
          <x14:cfRule type="dataBar" id="{80ED6EA0-4D9D-4179-A7D3-77898011EF4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F341:F348 F337:F339</xm:sqref>
        </x14:conditionalFormatting>
        <x14:conditionalFormatting xmlns:xm="http://schemas.microsoft.com/office/excel/2006/main">
          <x14:cfRule type="dataBar" id="{49C7F664-42EF-405C-B253-91BEE444525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F354</xm:sqref>
        </x14:conditionalFormatting>
        <x14:conditionalFormatting xmlns:xm="http://schemas.microsoft.com/office/excel/2006/main">
          <x14:cfRule type="dataBar" id="{D5322AB1-1080-4EE6-8C69-903E6760AE3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F355:F362 F351:F353</xm:sqref>
        </x14:conditionalFormatting>
        <x14:conditionalFormatting xmlns:xm="http://schemas.microsoft.com/office/excel/2006/main">
          <x14:cfRule type="dataBar" id="{8043178E-3426-4DFA-8AF7-87B7EBE3E9A4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F365:F375</xm:sqref>
        </x14:conditionalFormatting>
        <x14:conditionalFormatting xmlns:xm="http://schemas.microsoft.com/office/excel/2006/main">
          <x14:cfRule type="dataBar" id="{10414C3C-34AD-4EA6-B781-A015E0A22EB1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F378:F388</xm:sqref>
        </x14:conditionalFormatting>
        <x14:conditionalFormatting xmlns:xm="http://schemas.microsoft.com/office/excel/2006/main">
          <x14:cfRule type="dataBar" id="{EB7FF8FB-6016-4CB7-A046-B3884790801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F391:F401</xm:sqref>
        </x14:conditionalFormatting>
        <x14:conditionalFormatting xmlns:xm="http://schemas.microsoft.com/office/excel/2006/main">
          <x14:cfRule type="dataBar" id="{493CF742-4337-4D1A-A930-B5D6523CDC3F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F404:F414</xm:sqref>
        </x14:conditionalFormatting>
        <x14:conditionalFormatting xmlns:xm="http://schemas.microsoft.com/office/excel/2006/main">
          <x14:cfRule type="dataBar" id="{6574CDE0-FD28-4011-9139-41304CA6B1F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F417:F427</xm:sqref>
        </x14:conditionalFormatting>
        <x14:conditionalFormatting xmlns:xm="http://schemas.microsoft.com/office/excel/2006/main">
          <x14:cfRule type="dataBar" id="{F0AF56D9-50B3-43B8-B99E-B925B6655EED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F430:F440</xm:sqref>
        </x14:conditionalFormatting>
        <x14:conditionalFormatting xmlns:xm="http://schemas.microsoft.com/office/excel/2006/main">
          <x14:cfRule type="dataBar" id="{80A0EE56-C47A-4344-9CBD-997970BEFE1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F443:F452</xm:sqref>
        </x14:conditionalFormatting>
        <x14:conditionalFormatting xmlns:xm="http://schemas.microsoft.com/office/excel/2006/main">
          <x14:cfRule type="dataBar" id="{FD35D0FF-323D-4E88-B964-DCBF68C8F48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F455:F464</xm:sqref>
        </x14:conditionalFormatting>
        <x14:conditionalFormatting xmlns:xm="http://schemas.microsoft.com/office/excel/2006/main">
          <x14:cfRule type="dataBar" id="{76F846C0-ADDA-4129-99AA-DE25868E8BE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F467:F476</xm:sqref>
        </x14:conditionalFormatting>
        <x14:conditionalFormatting xmlns:xm="http://schemas.microsoft.com/office/excel/2006/main">
          <x14:cfRule type="dataBar" id="{2397CCE6-0064-4DB0-8073-24836D7F2B76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F479:F488</xm:sqref>
        </x14:conditionalFormatting>
        <x14:conditionalFormatting xmlns:xm="http://schemas.microsoft.com/office/excel/2006/main">
          <x14:cfRule type="dataBar" id="{B111F07B-7087-4218-83FC-B0E0BECE209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F491:F499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2023-03-05T21:20:21Z</dcterms:created>
  <dc:creator>geovane paredes</dc:creator>
  <dc:description/>
  <dc:language>pt-BR</dc:language>
  <cp:lastModifiedBy/>
  <dcterms:modified xsi:type="dcterms:W3CDTF">2025-10-21T11:53:03Z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